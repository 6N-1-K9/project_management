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theme/theme1.xml" ContentType="application/vnd.openxmlformats-officedocument.theme+xml"/>
  <Override PartName="/xl/threadedComments/threadedComment4.xml" ContentType="application/vnd.ms-excel.threaded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persons/person.xml" ContentType="application/vnd.ms-excel.person+xml"/>
  <Override PartName="/xl/threadedComments/threadedComment1.xml" ContentType="application/vnd.ms-excel.threadedcomment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3"/>
  </bookViews>
  <sheets>
    <sheet name="Паспорт проекта" sheetId="1" state="visible" r:id="rId3"/>
    <sheet name="Временные ограничения" sheetId="2" state="visible" r:id="rId4"/>
    <sheet name="Трудовые ограничения" sheetId="3" state="visible" r:id="rId5"/>
    <sheet name="Технические ограничения" sheetId="4" state="visible" r:id="rId6"/>
    <sheet name="Смета (финансовые ограничения)" sheetId="5" state="visible" r:id="rId7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tc={0092005F-0094-4EF0-B834-007800D600EF}</author>
  </authors>
  <commentList>
    <comment ref="A18" authorId="0" xr:uid="{0092005F-0094-4EF0-B834-007800D600EF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Наталья Заборовская:
пречислить верхнеуровневые риски - 3-5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tc={006900B0-009C-4977-B237-00B400100078}</author>
  </authors>
  <commentList>
    <comment ref="A1" authorId="0" xr:uid="{006900B0-009C-4977-B237-00B400100078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Наталья Заборовская:
Перечислить состав команды, з/п в месяц и продолжительность задействования в проекте по каждому сотруднику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tc={00AD0062-0064-4CB8-9ABA-000200C6002B}</author>
  </authors>
  <commentList>
    <comment ref="E3" authorId="0" xr:uid="{00AD0062-0064-4CB8-9ABA-000200C6002B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Наталья Заборовская:
(Количество × Стоимость) × коэффициент удорожания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tc={005E0054-00E7-4D6F-AD37-0077001A00E3}</author>
  </authors>
  <commentList>
    <comment ref="A27" authorId="0" xr:uid="{005E0054-00E7-4D6F-AD37-0077001A00E3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Наталья Заборовская:
Итоговая стоимость по техническим ограничениям
</t>
        </r>
      </text>
    </comment>
  </commentList>
</comments>
</file>

<file path=xl/sharedStrings.xml><?xml version="1.0" encoding="utf-8"?>
<sst xmlns="http://schemas.openxmlformats.org/spreadsheetml/2006/main" count="108" uniqueCount="108">
  <si>
    <t xml:space="preserve">Рабочее название проекта</t>
  </si>
  <si>
    <t xml:space="preserve">Онлайн-сервис ИИ-редактирования изображений с функцией переноса пользовательского стиля</t>
  </si>
  <si>
    <t xml:space="preserve">Дата создания и версия документа</t>
  </si>
  <si>
    <t xml:space="preserve">09.04.2026, версия 1.0</t>
  </si>
  <si>
    <t xml:space="preserve">Ссылка на репозиторий</t>
  </si>
  <si>
    <t>https://github.com/[добавить_при_наличии]</t>
  </si>
  <si>
    <t xml:space="preserve">Проблема, которую решает проект</t>
  </si>
  <si>
    <t xml:space="preserve">Моя целевая аудитория — дизайнеры, контент-мейкеры, SMM-специалисты, небольшие интернет-магазины и продавцы на маркетплейсах. В данный момент они сталкиваются с тем, что быстро выполнить качественную стилизацию и базовое редактирование изображений в едином визуальном стиле с использованием собственных референсов затруднительно: существующие сервисы либо перегружены лишними функциями, либо ограничивают работу с пользовательским стилем, либо требуют длительной ручной обработки. Из-за этого пользователи теряют время на подготовку визуального контента, несут дополнительные затраты на ручной дизайн и не могут быстро получать готовые изображения в едином фирменном стиле.</t>
  </si>
  <si>
    <t xml:space="preserve">Цель проекта</t>
  </si>
  <si>
    <t xml:space="preserve">Разработать к 30.06.2026 MVP онлайн-сервиса ИИ-редактирования изображений с функцией переноса пользовательского стиля, который позволит сократить среднее время подготовки одного изображения не менее чем на 40% по сравнению с ручной обработкой.</t>
  </si>
  <si>
    <t xml:space="preserve">Функциональные задачи проекта</t>
  </si>
  <si>
    <t xml:space="preserve">Регистрация и авторизация пользователей.
Загрузка исходных изображений для обработки.
Загрузка набора пользовательских референсов для задания стиля.
Применение переноса стиля к загруженному изображению.
Базовое ИИ-редактирование изображений: улучшение качества, изменение размера, удаление фона.
Предпросмотр результата до сохранения.
Сохранение и скачивание обработанных изображений.
Хранение истории обработок в личном кабинете пользователя.</t>
  </si>
  <si>
    <t xml:space="preserve">Основные результаты проекта</t>
  </si>
  <si>
    <t xml:space="preserve">Работоспособный MVP веб-сервиса ИИ-редактирования изображений.
ML-модуль переноса пользовательского стиля и базовой обработки изображений.
Backend/API для загрузки, обработки и хранения результатов.
База данных пользователей, задач обработки и истории операций.
Пользовательская и техническая документация.
Отчет о тестировании и результатах апробации.</t>
  </si>
  <si>
    <t xml:space="preserve">  Дата начала</t>
  </si>
  <si>
    <t>14.04.2026</t>
  </si>
  <si>
    <t xml:space="preserve">Дата завершения</t>
  </si>
  <si>
    <t>30.06.2026</t>
  </si>
  <si>
    <t xml:space="preserve">Ожидаемый эффект</t>
  </si>
  <si>
    <t xml:space="preserve">Сокращение времени подготовки визуального контента не менее чем на 40%.
Снижение доли ручных рутинных операций при обработке изображений.
Обеспечение единообразного визуального стиля контента за счет использования пользовательских референсов.
Повышение доступности ИИ-инструментов обработки изображений для малых команд и индивидуальных специалистов.</t>
  </si>
  <si>
    <t xml:space="preserve">Бюджет (руб.)</t>
  </si>
  <si>
    <t xml:space="preserve">Основные риски проекта</t>
  </si>
  <si>
    <t xml:space="preserve">Технические риски: снижение качества результата обработки из-за ограничений выбранной модели или недостаточного объема обучающих данных.
Организационные риски: срыв сроков разработки из-за высокой учебной загрузки участников проекта.
Организационные риски: выбывание одного из участников команды или снижение доступности ключевого исполнителя.
Внешние риски: рост стоимости облачных вычислений и хранения данных.
Внешние риски: изменение требований к функционалу сервиса в процессе реализации.</t>
  </si>
  <si>
    <t xml:space="preserve">Источники финансирования</t>
  </si>
  <si>
    <t xml:space="preserve">Собственные средства команды.
Учебные и технические ресурсы университета.
При необходимости — бесплатные или льготные образовательные тарифы облачных сервисов и ПО.</t>
  </si>
  <si>
    <t xml:space="preserve">Лидер проекта</t>
  </si>
  <si>
    <t xml:space="preserve">[ФИО студента], руководитель проекта (Project Manager)</t>
  </si>
  <si>
    <t xml:space="preserve">№ этапа</t>
  </si>
  <si>
    <t xml:space="preserve">Наименование этапа</t>
  </si>
  <si>
    <t xml:space="preserve">дата начала - дата окончания</t>
  </si>
  <si>
    <t xml:space="preserve">Анализ предметной области и формирование требований к онлайн-сервису</t>
  </si>
  <si>
    <t xml:space="preserve">10.02.2026 — 23.02.2026</t>
  </si>
  <si>
    <t xml:space="preserve">Проектирование архитектуры системы и пользовательского интерфейса</t>
  </si>
  <si>
    <t xml:space="preserve">24.02.2026 — 09.03.2026</t>
  </si>
  <si>
    <t xml:space="preserve">Разработка серверной и клиентской части MVP онлайн-сервиса</t>
  </si>
  <si>
    <t xml:space="preserve">10.03.2026 — 30.03.2026</t>
  </si>
  <si>
    <t xml:space="preserve">Интеграция ИИ-модуля стилизации и интеллектуальной обработки изображений</t>
  </si>
  <si>
    <t xml:space="preserve">31.03.2026 — 13.04.2026</t>
  </si>
  <si>
    <t xml:space="preserve">Тестирование, доработка и подготовка проектной документации</t>
  </si>
  <si>
    <t xml:space="preserve">14.04.2026 — 27.04.2026</t>
  </si>
  <si>
    <t>№</t>
  </si>
  <si>
    <t>Должность</t>
  </si>
  <si>
    <t xml:space="preserve">Количество человек</t>
  </si>
  <si>
    <t xml:space="preserve">Заработная плата, тыс. руб/мес</t>
  </si>
  <si>
    <t xml:space="preserve">Время работы в проекте, мес</t>
  </si>
  <si>
    <t xml:space="preserve">Руководитель проекта</t>
  </si>
  <si>
    <t xml:space="preserve">Бизнес-аналитик / системный аналитик</t>
  </si>
  <si>
    <t>Backend-разработчик</t>
  </si>
  <si>
    <t>Frontend-разработчик</t>
  </si>
  <si>
    <t>ML-инженер</t>
  </si>
  <si>
    <t>UX/UI-дизайнер</t>
  </si>
  <si>
    <t>Тестировщик</t>
  </si>
  <si>
    <t xml:space="preserve">Компьютеры, оборудование, средства связи и прочее. 
Посчитать сумму затрат на покупку и аренду технических средств, средств и каналов связи и т.п.</t>
  </si>
  <si>
    <t xml:space="preserve">Наименование ограничения</t>
  </si>
  <si>
    <t>Количество</t>
  </si>
  <si>
    <t>Cтоимость</t>
  </si>
  <si>
    <t xml:space="preserve">Общая стоимость с применением коэффициентов</t>
  </si>
  <si>
    <t xml:space="preserve">Рабочая станция для ML-разработки и тестирования модели</t>
  </si>
  <si>
    <t xml:space="preserve">Ноутбук/ПК для разработки клиентской и серверной части</t>
  </si>
  <si>
    <t xml:space="preserve">Аренда облачного GPU-сервера для обучения и тестирования модели</t>
  </si>
  <si>
    <t xml:space="preserve">2 мес</t>
  </si>
  <si>
    <t xml:space="preserve">Аренда VPS-сервера для размещения backend и API</t>
  </si>
  <si>
    <t xml:space="preserve">3 мес</t>
  </si>
  <si>
    <t xml:space="preserve">Облачное хранилище изображений и результатов обработки</t>
  </si>
  <si>
    <t xml:space="preserve">Доменное имя и SSL-сертификат</t>
  </si>
  <si>
    <t xml:space="preserve">Лицензия/подписка на сервис проектирования интерфейсов</t>
  </si>
  <si>
    <t xml:space="preserve">Средства связи и интернет-обеспечение команды</t>
  </si>
  <si>
    <t>Всего</t>
  </si>
  <si>
    <t xml:space="preserve">Приложение 2</t>
  </si>
  <si>
    <t xml:space="preserve">СМЕТА РАСХОДОВ</t>
  </si>
  <si>
    <t xml:space="preserve">
Разработка программного обеспечения _________________________________________________________</t>
  </si>
  <si>
    <t xml:space="preserve">(Наименование работы)</t>
  </si>
  <si>
    <t xml:space="preserve">№ п/п</t>
  </si>
  <si>
    <t xml:space="preserve">Наименование этапа работ</t>
  </si>
  <si>
    <t xml:space="preserve">Исполнитель, принимающий участие в выполнении работ</t>
  </si>
  <si>
    <t xml:space="preserve">Сроки участия в выполнении работ</t>
  </si>
  <si>
    <t xml:space="preserve">Трудозатраты Исполнителя, рабочих чел*часов участия в выполнении работ***</t>
  </si>
  <si>
    <t xml:space="preserve">Стоимость чел*часа работы Исполнителя руб./чел-час</t>
  </si>
  <si>
    <t xml:space="preserve">Стоимость работы Исполнителя, руб.</t>
  </si>
  <si>
    <t xml:space="preserve">Количество </t>
  </si>
  <si>
    <t>начало</t>
  </si>
  <si>
    <t>окончание</t>
  </si>
  <si>
    <t>8=7*6</t>
  </si>
  <si>
    <t xml:space="preserve">
Разработка программного обеспечения _______________________</t>
  </si>
  <si>
    <t xml:space="preserve">Руководитель разработки</t>
  </si>
  <si>
    <t xml:space="preserve">Технический лидер</t>
  </si>
  <si>
    <t xml:space="preserve">Инженер-разработчик (GUI)</t>
  </si>
  <si>
    <t xml:space="preserve">Инженер-разработчик (back-end)</t>
  </si>
  <si>
    <t xml:space="preserve">Системный аналитик</t>
  </si>
  <si>
    <t xml:space="preserve">Технический писатель</t>
  </si>
  <si>
    <t>DevOps-инженер</t>
  </si>
  <si>
    <t>QA-инженер</t>
  </si>
  <si>
    <t xml:space="preserve">UI/UX дизайнер</t>
  </si>
  <si>
    <t xml:space="preserve">Администратор проекта</t>
  </si>
  <si>
    <t xml:space="preserve">Специалист по ИБ</t>
  </si>
  <si>
    <t>ИТОГО:</t>
  </si>
  <si>
    <t xml:space="preserve">РАСЧЕТ СТОИМОСТИ РАБОТ</t>
  </si>
  <si>
    <t xml:space="preserve">Итого затраты на оплату труда непосредственных исполнителей, руб.</t>
  </si>
  <si>
    <t xml:space="preserve">Накладные расходы по ставке 10 % от стоимости работ непосредственных исполнителей</t>
  </si>
  <si>
    <t xml:space="preserve">Материалы и комплектующие изделия****</t>
  </si>
  <si>
    <t>Спецоборудование****</t>
  </si>
  <si>
    <t xml:space="preserve">Итого себестоимость работы, выполяняемой своими силами, руб.</t>
  </si>
  <si>
    <t xml:space="preserve">Затраты на оплату работ, выполняемых соисполнителями</t>
  </si>
  <si>
    <t xml:space="preserve">Полная себестоимость работ, руб.</t>
  </si>
  <si>
    <t xml:space="preserve">Рентабельность по ставке 10 % от себестоимости работ, выполняемых своими силами</t>
  </si>
  <si>
    <t xml:space="preserve">ИТОГО стоимость работ без НДС, руб.</t>
  </si>
  <si>
    <t xml:space="preserve">НДС по ставке 22%</t>
  </si>
  <si>
    <t xml:space="preserve">ИТОГО стоимость работ в т. ч. НДС 22% , руб.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</si>
</sst>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dd\.mm\.yyyy"/>
    <numFmt numFmtId="165" formatCode="d\.m\.yyyy"/>
    <numFmt numFmtId="166" formatCode="[$-409]m/d/yyyy"/>
    <numFmt numFmtId="167" formatCode="#,##0.00\ _₽"/>
  </numFmts>
  <fonts count="9">
    <font>
      <sz val="12.000000"/>
      <color indexed="64"/>
      <name val="Arial"/>
    </font>
    <font>
      <sz val="10.000000"/>
      <name val="Arial"/>
    </font>
    <font>
      <b/>
      <sz val="11.000000"/>
      <color indexed="64"/>
      <name val="Arial"/>
    </font>
    <font>
      <sz val="12.000000"/>
      <color indexed="64"/>
      <name val="Calibri"/>
    </font>
    <font>
      <b/>
      <sz val="12.000000"/>
      <color indexed="64"/>
      <name val="Times New Roman"/>
    </font>
    <font>
      <sz val="12.000000"/>
      <color indexed="64"/>
      <name val="Times New Roman"/>
    </font>
    <font>
      <i/>
      <sz val="12.000000"/>
      <color indexed="64"/>
      <name val="Times New Roman"/>
    </font>
    <font>
      <sz val="11.000000"/>
      <color indexed="64"/>
      <name val="Times New Roman"/>
    </font>
    <font>
      <sz val="12.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65"/>
      </patternFill>
    </fill>
  </fills>
  <borders count="1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none"/>
      <top style="none"/>
      <bottom style="none"/>
      <diagonal style="none"/>
    </border>
    <border>
      <left style="medium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medium">
        <color theme="1"/>
      </right>
      <top style="none"/>
      <bottom style="thin">
        <color theme="1"/>
      </bottom>
      <diagonal style="none"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 style="none"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medium">
        <color theme="1"/>
      </right>
      <top style="none"/>
      <bottom style="none"/>
      <diagonal style="none"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 style="none"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medium">
        <color theme="1"/>
      </left>
      <right style="none"/>
      <top style="none"/>
      <bottom style="medium">
        <color theme="1"/>
      </bottom>
      <diagonal style="none"/>
    </border>
  </borders>
  <cellStyleXfs count="7">
    <xf fontId="0" fillId="0" borderId="0" numFmtId="0" applyNumberFormat="1" applyFont="1" applyFill="1" applyBorder="1" applyProtection="1"/>
    <xf fontId="0" fillId="0" borderId="0" numFmtId="0" applyNumberFormat="1" applyFont="1" applyFill="1" applyBorder="1" applyProtection="1"/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65">
    <xf fontId="0" fillId="0" borderId="0" numFmtId="0" xfId="0"/>
    <xf fontId="2" fillId="0" borderId="1" numFmtId="0" xfId="0" applyFont="1" applyBorder="1" applyAlignment="1">
      <alignment horizontal="center" vertical="center"/>
    </xf>
    <xf fontId="3" fillId="0" borderId="1" numFmtId="0" xfId="0" applyFont="1" applyBorder="1" applyAlignment="1">
      <alignment horizontal="left" vertical="center" wrapText="1"/>
    </xf>
    <xf fontId="0" fillId="0" borderId="0" numFmtId="0" xfId="0" applyAlignment="1">
      <alignment wrapText="1"/>
    </xf>
    <xf fontId="0" fillId="0" borderId="0" numFmtId="0" xfId="0" applyAlignment="1">
      <alignment wrapText="1"/>
    </xf>
    <xf fontId="3" fillId="0" borderId="1" numFmtId="164" xfId="0" applyNumberFormat="1" applyFont="1" applyBorder="1" applyAlignment="1">
      <alignment horizontal="left" vertical="center" wrapText="1"/>
    </xf>
    <xf fontId="3" fillId="0" borderId="1" numFmtId="165" xfId="0" applyNumberFormat="1" applyFont="1" applyBorder="1" applyAlignment="1">
      <alignment horizontal="left" wrapText="1"/>
    </xf>
    <xf fontId="3" fillId="0" borderId="1" numFmtId="4" xfId="0" applyNumberFormat="1" applyFont="1" applyBorder="1" applyAlignment="1">
      <alignment horizontal="left" vertical="center" wrapText="1"/>
    </xf>
    <xf fontId="4" fillId="0" borderId="1" numFmtId="0" xfId="0" applyFont="1" applyBorder="1" applyAlignment="1">
      <alignment horizontal="center" wrapText="1"/>
    </xf>
    <xf fontId="5" fillId="0" borderId="0" numFmtId="0" xfId="0" applyFont="1" applyAlignment="1">
      <alignment horizontal="left" vertical="center" wrapText="1"/>
    </xf>
    <xf fontId="5" fillId="0" borderId="1" numFmtId="0" xfId="0" applyFont="1" applyBorder="1" applyAlignment="1">
      <alignment wrapText="1"/>
    </xf>
    <xf fontId="0" fillId="0" borderId="0" numFmtId="0" xfId="0"/>
    <xf fontId="4" fillId="0" borderId="1" numFmtId="0" xfId="0" applyFont="1" applyBorder="1" applyAlignment="1">
      <alignment wrapText="1"/>
    </xf>
    <xf fontId="5" fillId="0" borderId="0" numFmtId="2" xfId="0" applyNumberFormat="1" applyFont="1" applyAlignment="1">
      <alignment horizontal="left" vertical="center" wrapText="1"/>
    </xf>
    <xf fontId="5" fillId="0" borderId="0" numFmtId="0" xfId="0" applyFont="1" applyAlignment="1">
      <alignment wrapText="1"/>
    </xf>
    <xf fontId="5" fillId="0" borderId="2" numFmtId="0" xfId="0" applyFont="1" applyBorder="1" applyAlignment="1">
      <alignment wrapText="1"/>
    </xf>
    <xf fontId="4" fillId="0" borderId="3" numFmtId="0" xfId="0" applyFont="1" applyBorder="1" applyAlignment="1">
      <alignment wrapText="1"/>
    </xf>
    <xf fontId="5" fillId="0" borderId="0" numFmtId="0" xfId="0" applyFont="1"/>
    <xf fontId="5" fillId="0" borderId="0" numFmtId="0" xfId="0" applyFont="1" applyAlignment="1">
      <alignment horizontal="right"/>
    </xf>
    <xf fontId="4" fillId="0" borderId="0" numFmtId="0" xfId="0" applyFont="1" applyAlignment="1">
      <alignment horizontal="center"/>
    </xf>
    <xf fontId="4" fillId="0" borderId="0" numFmtId="0" xfId="0" applyFont="1"/>
    <xf fontId="4" fillId="0" borderId="2" numFmtId="0" xfId="0" applyFont="1" applyBorder="1" applyAlignment="1">
      <alignment horizontal="center" wrapText="1"/>
    </xf>
    <xf fontId="6" fillId="0" borderId="4" numFmtId="0" xfId="0" applyFont="1" applyBorder="1" applyAlignment="1">
      <alignment horizontal="center"/>
    </xf>
    <xf fontId="4" fillId="0" borderId="5" numFmtId="0" xfId="0" applyFont="1" applyBorder="1" applyAlignment="1">
      <alignment horizontal="center" vertical="center" wrapText="1"/>
    </xf>
    <xf fontId="6" fillId="0" borderId="6" numFmtId="0" xfId="0" applyFont="1" applyBorder="1" applyAlignment="1">
      <alignment horizontal="center" vertical="center" wrapText="1"/>
    </xf>
    <xf fontId="4" fillId="0" borderId="7" numFmtId="0" xfId="0" applyFont="1" applyBorder="1" applyAlignment="1">
      <alignment horizontal="center" wrapText="1"/>
    </xf>
    <xf fontId="4" fillId="0" borderId="8" numFmtId="0" xfId="0" applyFont="1" applyBorder="1" applyAlignment="1">
      <alignment horizontal="center" wrapText="1"/>
    </xf>
    <xf fontId="4" fillId="0" borderId="9" numFmtId="0" xfId="0" applyFont="1" applyBorder="1" applyAlignment="1">
      <alignment horizontal="center" wrapText="1"/>
    </xf>
    <xf fontId="6" fillId="0" borderId="0" numFmtId="0" xfId="0" applyFont="1"/>
    <xf fontId="5" fillId="0" borderId="10" numFmtId="0" xfId="0" applyFont="1" applyBorder="1" applyAlignment="1">
      <alignment horizontal="center" vertical="center" wrapText="1"/>
    </xf>
    <xf fontId="5" fillId="0" borderId="1" numFmtId="0" xfId="0" applyFont="1" applyBorder="1" applyAlignment="1">
      <alignment horizontal="center" vertical="center" wrapText="1"/>
    </xf>
    <xf fontId="5" fillId="0" borderId="11" numFmtId="166" xfId="0" applyNumberFormat="1" applyFont="1" applyBorder="1" applyAlignment="1">
      <alignment horizontal="center" vertical="center" wrapText="1"/>
    </xf>
    <xf fontId="7" fillId="2" borderId="1" numFmtId="166" xfId="0" applyNumberFormat="1" applyFont="1" applyFill="1" applyBorder="1" applyAlignment="1">
      <alignment horizontal="center" vertical="center" wrapText="1"/>
    </xf>
    <xf fontId="5" fillId="0" borderId="12" numFmtId="4" xfId="0" applyNumberFormat="1" applyFont="1" applyBorder="1" applyAlignment="1">
      <alignment horizontal="center" vertical="top" wrapText="1"/>
    </xf>
    <xf fontId="6" fillId="0" borderId="0" numFmtId="3" xfId="0" applyNumberFormat="1" applyFont="1"/>
    <xf fontId="5" fillId="0" borderId="1" numFmtId="3" xfId="0" applyNumberFormat="1" applyFont="1" applyBorder="1" applyAlignment="1">
      <alignment horizontal="center" vertical="center" wrapText="1"/>
    </xf>
    <xf fontId="5" fillId="0" borderId="0" numFmtId="4" xfId="0" applyNumberFormat="1" applyFont="1" applyAlignment="1">
      <alignment horizontal="center" vertical="top" wrapText="1"/>
    </xf>
    <xf fontId="5" fillId="0" borderId="6" numFmtId="0" xfId="0" applyFont="1" applyBorder="1" applyAlignment="1">
      <alignment horizontal="justify" vertical="top" wrapText="1"/>
    </xf>
    <xf fontId="5" fillId="0" borderId="0" numFmtId="0" xfId="0" applyFont="1" applyAlignment="1">
      <alignment horizontal="justify" vertical="top" wrapText="1"/>
    </xf>
    <xf fontId="5" fillId="0" borderId="0" numFmtId="0" xfId="0" applyFont="1" applyAlignment="1">
      <alignment horizontal="center"/>
    </xf>
    <xf fontId="5" fillId="0" borderId="0" numFmtId="0" xfId="0" applyFont="1" applyAlignment="1">
      <alignment horizontal="center" vertical="top" wrapText="1"/>
    </xf>
    <xf fontId="5" fillId="0" borderId="0" numFmtId="166" xfId="0" applyNumberFormat="1" applyFont="1" applyAlignment="1">
      <alignment horizontal="center" vertical="center" wrapText="1"/>
    </xf>
    <xf fontId="7" fillId="2" borderId="0" numFmtId="166" xfId="0" applyNumberFormat="1" applyFont="1" applyFill="1" applyAlignment="1">
      <alignment horizontal="center" vertical="center" wrapText="1"/>
    </xf>
    <xf fontId="5" fillId="0" borderId="0" numFmtId="0" xfId="0" applyFont="1" applyAlignment="1">
      <alignment vertical="top" wrapText="1"/>
    </xf>
    <xf fontId="5" fillId="0" borderId="13" numFmtId="4" xfId="0" applyNumberFormat="1" applyFont="1" applyBorder="1" applyAlignment="1">
      <alignment horizontal="center" vertical="top" wrapText="1"/>
    </xf>
    <xf fontId="4" fillId="0" borderId="5" numFmtId="0" xfId="0" applyFont="1" applyBorder="1" applyAlignment="1">
      <alignment horizontal="right" vertical="top" wrapText="1"/>
    </xf>
    <xf fontId="4" fillId="0" borderId="5" numFmtId="4" xfId="0" applyNumberFormat="1" applyFont="1" applyBorder="1" applyAlignment="1">
      <alignment horizontal="right" vertical="top" wrapText="1"/>
    </xf>
    <xf fontId="5" fillId="2" borderId="7" numFmtId="0" xfId="0" applyFont="1" applyFill="1" applyBorder="1" applyAlignment="1">
      <alignment wrapText="1"/>
    </xf>
    <xf fontId="5" fillId="2" borderId="9" numFmtId="4" xfId="0" applyNumberFormat="1" applyFont="1" applyFill="1" applyBorder="1" applyAlignment="1">
      <alignment wrapText="1"/>
    </xf>
    <xf fontId="5" fillId="2" borderId="10" numFmtId="0" xfId="0" applyFont="1" applyFill="1" applyBorder="1" applyAlignment="1">
      <alignment wrapText="1"/>
    </xf>
    <xf fontId="4" fillId="2" borderId="12" numFmtId="4" xfId="0" applyNumberFormat="1" applyFont="1" applyFill="1" applyBorder="1" applyAlignment="1">
      <alignment vertical="top" wrapText="1"/>
    </xf>
    <xf fontId="4" fillId="2" borderId="0" numFmtId="4" xfId="0" applyNumberFormat="1" applyFont="1" applyFill="1" applyAlignment="1">
      <alignment vertical="top" wrapText="1"/>
    </xf>
    <xf fontId="8" fillId="2" borderId="12" numFmtId="167" xfId="0" applyNumberFormat="1" applyFont="1" applyFill="1" applyBorder="1" applyAlignment="1">
      <alignment vertical="top" wrapText="1"/>
    </xf>
    <xf fontId="6" fillId="0" borderId="0" numFmtId="4" xfId="0" applyNumberFormat="1" applyFont="1"/>
    <xf fontId="5" fillId="2" borderId="0" numFmtId="4" xfId="0" applyNumberFormat="1" applyFont="1" applyFill="1" applyAlignment="1">
      <alignment vertical="top" wrapText="1"/>
    </xf>
    <xf fontId="5" fillId="2" borderId="10" numFmtId="0" xfId="0" applyFont="1" applyFill="1" applyBorder="1" applyAlignment="1">
      <alignment horizontal="left" wrapText="1"/>
    </xf>
    <xf fontId="5" fillId="2" borderId="12" numFmtId="4" xfId="0" applyNumberFormat="1" applyFont="1" applyFill="1" applyBorder="1" applyAlignment="1">
      <alignment vertical="top" wrapText="1"/>
    </xf>
    <xf fontId="4" fillId="2" borderId="10" numFmtId="0" xfId="0" applyFont="1" applyFill="1" applyBorder="1" applyAlignment="1">
      <alignment wrapText="1"/>
    </xf>
    <xf fontId="4" fillId="2" borderId="10" numFmtId="0" xfId="0" applyFont="1" applyFill="1" applyBorder="1" applyAlignment="1">
      <alignment horizontal="left" wrapText="1"/>
    </xf>
    <xf fontId="5" fillId="0" borderId="0" numFmtId="4" xfId="0" applyNumberFormat="1" applyFont="1"/>
    <xf fontId="4" fillId="2" borderId="14" numFmtId="0" xfId="0" applyFont="1" applyFill="1" applyBorder="1" applyAlignment="1">
      <alignment wrapText="1"/>
    </xf>
    <xf fontId="4" fillId="2" borderId="15" numFmtId="4" xfId="0" applyNumberFormat="1" applyFont="1" applyFill="1" applyBorder="1" applyAlignment="1">
      <alignment vertical="top" wrapText="1"/>
    </xf>
    <xf fontId="5" fillId="2" borderId="16" numFmtId="0" xfId="0" applyFont="1" applyFill="1" applyBorder="1" applyAlignment="1">
      <alignment wrapText="1"/>
    </xf>
    <xf fontId="4" fillId="2" borderId="17" numFmtId="0" xfId="0" applyFont="1" applyFill="1" applyBorder="1" applyAlignment="1">
      <alignment wrapText="1"/>
    </xf>
    <xf fontId="4" fillId="0" borderId="15" numFmtId="4" xfId="0" applyNumberFormat="1" applyFont="1" applyBorder="1" applyAlignment="1">
      <alignment vertical="top" wrapText="1"/>
    </xf>
  </cellXfs>
  <cellStyles count="7">
    <cellStyle name="Normal" xfId="1"/>
    <cellStyle name="Comma" xfId="2"/>
    <cellStyle name="Comma [0]" xfId="3"/>
    <cellStyle name="Currency" xfId="4"/>
    <cellStyle name="Currency [0]" xfId="5"/>
    <cellStyle name="Percent" xf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10" Type="http://schemas.openxmlformats.org/officeDocument/2006/relationships/styles" Target="styles.xml"/><Relationship  Id="rId2" Type="http://schemas.microsoft.com/office/2017/10/relationships/person" Target="persons/person.xml"/><Relationship  Id="rId3" Type="http://schemas.openxmlformats.org/officeDocument/2006/relationships/worksheet" Target="worksheets/sheet1.xml"/><Relationship  Id="rId4" Type="http://schemas.openxmlformats.org/officeDocument/2006/relationships/worksheet" Target="worksheets/sheet2.xml"/><Relationship  Id="rId5" Type="http://schemas.openxmlformats.org/officeDocument/2006/relationships/worksheet" Target="worksheets/sheet3.xml"/><Relationship  Id="rId6" Type="http://schemas.openxmlformats.org/officeDocument/2006/relationships/worksheet" Target="worksheets/sheet4.xml"/><Relationship  Id="rId7" Type="http://schemas.openxmlformats.org/officeDocument/2006/relationships/worksheet" Target="worksheets/sheet5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Unknown Author" id="{33F0173F-CD40-2061-EAEA-F398077D71DF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Libre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8" personId="{33F0173F-CD40-2061-EAEA-F398077D71DF}" id="{0092005F-0094-4EF0-B834-007800D600EF}" done="0">
    <text xml:space="preserve">Наталья Заборовская:
пречислить верхнеуровневые риски - 3-5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personId="{33F0173F-CD40-2061-EAEA-F398077D71DF}" id="{006900B0-009C-4977-B237-00B400100078}" done="0">
    <text xml:space="preserve">Наталья Заборовская:
Перечислить состав команды, з/п в месяц и продолжительность задействования в проекте по каждому сотруднику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3" personId="{33F0173F-CD40-2061-EAEA-F398077D71DF}" id="{00AD0062-0064-4CB8-9ABA-000200C6002B}" done="0">
    <text xml:space="preserve">Наталья Заборовская:
(Количество × Стоимость) × коэффициент удорожания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27" personId="{33F0173F-CD40-2061-EAEA-F398077D71DF}" id="{005E0054-00E7-4D6F-AD37-0077001A00E3}" done="0">
    <text xml:space="preserve">Наталья Заборовская:
Итоговая стоимость по техническим ограничениям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2.xml"/><Relationship  Id="rId2" Type="http://schemas.openxmlformats.org/officeDocument/2006/relationships/comments" Target="../comments2.xml"/><Relationship  Id="rId3" Type="http://schemas.openxmlformats.org/officeDocument/2006/relationships/vmlDrawing" Target="../drawings/vmlDrawing2.vml"/></Relationships>
</file>

<file path=xl/worksheets/_rels/sheet4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3.xml"/><Relationship  Id="rId2" Type="http://schemas.openxmlformats.org/officeDocument/2006/relationships/comments" Target="../comments3.xml"/><Relationship  Id="rId3" Type="http://schemas.openxmlformats.org/officeDocument/2006/relationships/vmlDrawing" Target="../drawings/vmlDrawing3.vml"/></Relationships>
</file>

<file path=xl/worksheets/_rels/sheet5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4.xml"/><Relationship  Id="rId2" Type="http://schemas.openxmlformats.org/officeDocument/2006/relationships/comments" Target="../comments4.xml"/><Relationship 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1" zoomScale="100" workbookViewId="0">
      <selection activeCell="A1" activeCellId="0" sqref="A1"/>
    </sheetView>
  </sheetViews>
  <sheetFormatPr defaultColWidth="8.90234375" defaultRowHeight="15"/>
  <cols>
    <col customWidth="1" min="1" max="1" width="53.720001220703125"/>
    <col customWidth="1" min="2" max="2" width="87.349998474121094"/>
    <col customWidth="1" min="3" max="3" width="44.4453125"/>
    <col customWidth="1" min="4" max="4" width="31.77734375"/>
  </cols>
  <sheetData>
    <row r="1" ht="180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ht="45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</row>
    <row r="3" ht="75">
      <c r="A3" s="1" t="s">
        <v>4</v>
      </c>
      <c r="B3" s="2" t="s">
        <v>5</v>
      </c>
      <c r="C3" s="3"/>
      <c r="D3" s="3"/>
      <c r="E3" s="3"/>
      <c r="F3" s="3"/>
      <c r="G3" s="3"/>
      <c r="H3" s="3"/>
      <c r="I3" s="3"/>
    </row>
    <row r="4" ht="409.5">
      <c r="A4" s="1" t="s">
        <v>6</v>
      </c>
      <c r="B4" s="2" t="s">
        <v>7</v>
      </c>
      <c r="C4" s="3"/>
      <c r="D4" s="3"/>
      <c r="E4" s="3"/>
      <c r="F4" s="3"/>
      <c r="G4" s="3"/>
      <c r="H4" s="3"/>
      <c r="I4" s="3"/>
    </row>
    <row r="5" ht="49.5" customHeight="1">
      <c r="A5" s="1" t="s">
        <v>8</v>
      </c>
      <c r="B5" s="2" t="s">
        <v>9</v>
      </c>
      <c r="C5" s="3"/>
      <c r="D5" s="3"/>
      <c r="E5" s="3"/>
      <c r="F5" s="3"/>
      <c r="G5" s="3"/>
      <c r="H5" s="3"/>
      <c r="I5" s="3"/>
    </row>
    <row r="6" ht="41.950000000000003" customHeight="1">
      <c r="A6" s="1" t="s">
        <v>10</v>
      </c>
      <c r="B6" s="2" t="s">
        <v>11</v>
      </c>
      <c r="C6" s="4"/>
      <c r="D6" s="3"/>
      <c r="E6" s="3"/>
      <c r="F6" s="3"/>
      <c r="G6" s="3"/>
      <c r="H6" s="3"/>
      <c r="I6" s="3"/>
    </row>
    <row r="7" ht="50.75" customHeight="1">
      <c r="A7" s="1"/>
      <c r="B7" s="2" t="s">
        <v>11</v>
      </c>
      <c r="C7" s="4"/>
      <c r="D7" s="4"/>
      <c r="E7" s="3"/>
      <c r="F7" s="3"/>
      <c r="G7" s="3"/>
      <c r="H7" s="3"/>
      <c r="I7" s="3"/>
    </row>
    <row r="8" ht="26.949999999999999" customHeight="1">
      <c r="A8" s="1"/>
      <c r="B8" s="2" t="s">
        <v>11</v>
      </c>
      <c r="C8" s="3"/>
      <c r="D8" s="3"/>
      <c r="E8" s="3"/>
      <c r="F8" s="3"/>
      <c r="G8" s="3"/>
      <c r="H8" s="3"/>
      <c r="I8" s="3"/>
    </row>
    <row r="9" ht="45.700000000000003" customHeight="1">
      <c r="A9" s="1"/>
      <c r="B9" s="2" t="s">
        <v>11</v>
      </c>
      <c r="C9" s="3"/>
      <c r="D9" s="3"/>
      <c r="E9" s="4"/>
      <c r="F9" s="3"/>
      <c r="G9" s="3"/>
      <c r="H9" s="3"/>
      <c r="I9" s="3"/>
    </row>
    <row r="10" ht="34.450000000000003" customHeight="1">
      <c r="A10" s="1"/>
      <c r="B10" s="2" t="s">
        <v>11</v>
      </c>
      <c r="C10" s="3"/>
      <c r="D10" s="3"/>
      <c r="E10" s="3"/>
      <c r="F10" s="3"/>
      <c r="G10" s="3"/>
      <c r="H10" s="3"/>
      <c r="I10" s="3"/>
    </row>
    <row r="11" ht="31.25" customHeight="1">
      <c r="A11" s="1"/>
      <c r="B11" s="2" t="s">
        <v>11</v>
      </c>
      <c r="C11" s="3"/>
      <c r="D11" s="3"/>
      <c r="E11" s="3"/>
      <c r="F11" s="3"/>
      <c r="G11" s="3"/>
      <c r="H11" s="3"/>
      <c r="I11" s="3"/>
    </row>
    <row r="12" ht="109.5" customHeight="1">
      <c r="A12" s="1"/>
      <c r="B12" s="2" t="s">
        <v>11</v>
      </c>
      <c r="C12" s="3"/>
      <c r="D12" s="3"/>
      <c r="E12" s="3"/>
      <c r="F12" s="3"/>
      <c r="G12" s="3"/>
      <c r="H12" s="3"/>
      <c r="I12" s="3"/>
    </row>
    <row r="13" ht="409.5">
      <c r="A13" s="1" t="s">
        <v>12</v>
      </c>
      <c r="B13" s="2" t="s">
        <v>13</v>
      </c>
      <c r="C13" s="3"/>
      <c r="D13" s="3"/>
      <c r="E13" s="3"/>
      <c r="F13" s="3"/>
      <c r="G13" s="3"/>
      <c r="H13" s="3"/>
      <c r="I13" s="3"/>
    </row>
    <row r="14" ht="30">
      <c r="A14" s="1" t="s">
        <v>14</v>
      </c>
      <c r="B14" s="5" t="s">
        <v>15</v>
      </c>
      <c r="C14" s="3"/>
      <c r="D14" s="3"/>
      <c r="E14" s="3"/>
      <c r="F14" s="3"/>
      <c r="G14" s="3"/>
      <c r="H14" s="3"/>
      <c r="I14" s="3"/>
    </row>
    <row r="15" ht="30">
      <c r="A15" s="1" t="s">
        <v>16</v>
      </c>
      <c r="B15" s="6" t="s">
        <v>17</v>
      </c>
      <c r="C15" s="3"/>
      <c r="D15" s="3"/>
      <c r="E15" s="3"/>
      <c r="F15" s="3"/>
      <c r="G15" s="3"/>
      <c r="H15" s="3"/>
      <c r="I15" s="3"/>
    </row>
    <row r="16" ht="409.5">
      <c r="A16" s="1" t="s">
        <v>18</v>
      </c>
      <c r="B16" s="2" t="s">
        <v>19</v>
      </c>
      <c r="C16" s="3"/>
      <c r="D16" s="3"/>
      <c r="E16" s="3"/>
      <c r="F16" s="3"/>
      <c r="G16" s="3"/>
      <c r="H16" s="3"/>
      <c r="I16" s="3"/>
    </row>
    <row r="17" ht="16.5">
      <c r="A17" s="1" t="s">
        <v>20</v>
      </c>
      <c r="B17" s="7"/>
      <c r="C17" s="3"/>
      <c r="D17" s="3"/>
      <c r="E17" s="3"/>
      <c r="F17" s="3"/>
      <c r="G17" s="3"/>
      <c r="H17" s="3"/>
      <c r="I17" s="3"/>
    </row>
    <row r="18" ht="409.5">
      <c r="A18" s="1" t="s">
        <v>21</v>
      </c>
      <c r="B18" s="2" t="s">
        <v>22</v>
      </c>
      <c r="C18" s="3"/>
      <c r="D18" s="3"/>
      <c r="E18" s="3"/>
      <c r="F18" s="3"/>
      <c r="G18" s="3"/>
      <c r="H18" s="3"/>
      <c r="I18" s="3"/>
    </row>
    <row r="19" ht="345">
      <c r="A19" s="1" t="s">
        <v>23</v>
      </c>
      <c r="B19" s="2" t="s">
        <v>24</v>
      </c>
      <c r="C19" s="3"/>
      <c r="D19" s="3"/>
      <c r="E19" s="3"/>
      <c r="F19" s="3"/>
      <c r="G19" s="3"/>
      <c r="H19" s="3"/>
      <c r="I19" s="3"/>
    </row>
    <row r="20" ht="120">
      <c r="A20" s="1" t="s">
        <v>25</v>
      </c>
      <c r="B20" s="2" t="s">
        <v>26</v>
      </c>
      <c r="C20" s="3"/>
      <c r="D20" s="3"/>
      <c r="E20" s="3"/>
      <c r="F20" s="3"/>
      <c r="G20" s="3"/>
      <c r="H20" s="3"/>
      <c r="I20" s="3"/>
    </row>
  </sheetData>
  <mergeCells count="1">
    <mergeCell ref="A6:A1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1" zoomScale="100" workbookViewId="0">
      <selection activeCell="A1" activeCellId="0" sqref="A1"/>
    </sheetView>
  </sheetViews>
  <sheetFormatPr defaultColWidth="8.90234375" defaultRowHeight="15.050000190734863"/>
  <cols>
    <col customWidth="1" min="1" max="1" width="11.899999618530273"/>
    <col customWidth="1" min="2" max="2" width="40.900001525878906"/>
    <col customWidth="1" min="3" max="3" width="29.079999923706055"/>
  </cols>
  <sheetData>
    <row r="1" ht="15.6">
      <c r="A1" s="8" t="s">
        <v>27</v>
      </c>
      <c r="B1" s="8" t="s">
        <v>28</v>
      </c>
      <c r="C1" s="8" t="s">
        <v>29</v>
      </c>
    </row>
    <row r="2" ht="47">
      <c r="A2" s="9">
        <v>1</v>
      </c>
      <c r="B2" s="9" t="s">
        <v>30</v>
      </c>
      <c r="C2" s="9" t="s">
        <v>31</v>
      </c>
    </row>
    <row r="3" ht="15.6">
      <c r="A3" s="9">
        <v>2</v>
      </c>
      <c r="B3" s="9" t="s">
        <v>32</v>
      </c>
      <c r="C3" s="9" t="s">
        <v>33</v>
      </c>
    </row>
    <row r="4" ht="15.6">
      <c r="A4" s="9">
        <v>3</v>
      </c>
      <c r="B4" s="9" t="s">
        <v>34</v>
      </c>
      <c r="C4" s="9" t="s">
        <v>35</v>
      </c>
    </row>
    <row r="5" ht="15.6">
      <c r="A5" s="9">
        <v>4</v>
      </c>
      <c r="B5" s="9" t="s">
        <v>36</v>
      </c>
      <c r="C5" s="9" t="s">
        <v>37</v>
      </c>
    </row>
    <row r="6" ht="15.6">
      <c r="A6" s="9">
        <v>5</v>
      </c>
      <c r="B6" s="9" t="s">
        <v>38</v>
      </c>
      <c r="C6" s="9" t="s">
        <v>39</v>
      </c>
    </row>
    <row r="7" ht="15.6">
      <c r="A7" s="10"/>
      <c r="B7" s="10"/>
      <c r="C7" s="10"/>
    </row>
    <row r="8" ht="15.6">
      <c r="A8" s="10"/>
      <c r="B8" s="10"/>
      <c r="C8" s="10"/>
    </row>
    <row r="9" ht="15.6">
      <c r="A9" s="10"/>
      <c r="B9" s="10"/>
      <c r="C9" s="10"/>
    </row>
    <row r="10" ht="15.6">
      <c r="A10" s="10"/>
      <c r="B10" s="10"/>
      <c r="C10" s="10"/>
    </row>
    <row r="11" ht="15.050000000000001">
      <c r="A11" s="11"/>
      <c r="B11" s="11"/>
      <c r="C11" s="11"/>
    </row>
    <row r="12" ht="15.050000000000001">
      <c r="A12" s="11"/>
      <c r="B12" s="11"/>
      <c r="C12" s="11"/>
    </row>
    <row r="13" ht="15.050000000000001">
      <c r="A13" s="11"/>
      <c r="B13" s="11"/>
      <c r="C13" s="11"/>
    </row>
    <row r="14" ht="15.050000000000001">
      <c r="A14" s="11"/>
      <c r="B14" s="11"/>
      <c r="C14" s="11"/>
    </row>
    <row r="15" ht="15.050000000000001">
      <c r="A15" s="11"/>
      <c r="B15" s="11"/>
      <c r="C15" s="11"/>
    </row>
    <row r="16" ht="15.050000000000001">
      <c r="A16" s="11"/>
      <c r="B16" s="11"/>
      <c r="C16" s="11"/>
    </row>
    <row r="17" ht="15.050000000000001">
      <c r="A17" s="11"/>
      <c r="B17" s="11"/>
      <c r="C17" s="11"/>
    </row>
    <row r="18" ht="15.050000000000001">
      <c r="A18" s="11"/>
      <c r="B18" s="11"/>
      <c r="C18" s="11"/>
    </row>
    <row r="19" ht="15.050000000000001">
      <c r="A19" s="11"/>
      <c r="B19" s="11"/>
      <c r="C19" s="11"/>
    </row>
    <row r="20" ht="15.050000000000001">
      <c r="A20" s="11"/>
      <c r="B20" s="11"/>
      <c r="C20" s="1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1" zoomScale="100" workbookViewId="0">
      <selection activeCell="A1" activeCellId="0" sqref="A1"/>
    </sheetView>
  </sheetViews>
  <sheetFormatPr defaultColWidth="8.90234375" defaultRowHeight="15.050000190734863"/>
  <cols>
    <col customWidth="1" min="1" max="1" style="3" width="3.809999942779541"/>
    <col customWidth="1" min="2" max="2" style="3" width="19.719999313354492"/>
    <col customWidth="1" min="3" max="3" style="3" width="12.350000381469727"/>
    <col customWidth="1" min="4" max="4" style="3" width="17.989999771118164"/>
    <col customWidth="1" min="5" max="5" style="3" width="16.989999771118164"/>
    <col customWidth="1" min="6" max="6" style="3" width="8.7200002670288086"/>
  </cols>
  <sheetData>
    <row r="1" ht="31.25">
      <c r="A1" s="12" t="s">
        <v>40</v>
      </c>
      <c r="B1" s="12" t="s">
        <v>41</v>
      </c>
      <c r="C1" s="12" t="s">
        <v>42</v>
      </c>
      <c r="D1" s="12" t="s">
        <v>43</v>
      </c>
      <c r="E1" s="12" t="s">
        <v>44</v>
      </c>
    </row>
    <row r="2" ht="47">
      <c r="A2" s="9">
        <v>1</v>
      </c>
      <c r="B2" s="9" t="s">
        <v>45</v>
      </c>
      <c r="C2" s="9">
        <v>1</v>
      </c>
      <c r="D2" s="9">
        <v>100</v>
      </c>
      <c r="E2" s="13">
        <v>2.5</v>
      </c>
    </row>
    <row r="3" ht="15.6">
      <c r="A3" s="9">
        <v>2</v>
      </c>
      <c r="B3" s="9" t="s">
        <v>46</v>
      </c>
      <c r="C3" s="9">
        <v>1</v>
      </c>
      <c r="D3" s="9">
        <v>90</v>
      </c>
      <c r="E3" s="13">
        <v>1</v>
      </c>
    </row>
    <row r="4" ht="15.6">
      <c r="A4" s="9">
        <v>3</v>
      </c>
      <c r="B4" s="9" t="s">
        <v>47</v>
      </c>
      <c r="C4" s="9">
        <v>1</v>
      </c>
      <c r="D4" s="9">
        <v>140</v>
      </c>
      <c r="E4" s="13">
        <v>1.5</v>
      </c>
    </row>
    <row r="5" ht="15.6">
      <c r="A5" s="9">
        <v>4</v>
      </c>
      <c r="B5" s="9" t="s">
        <v>48</v>
      </c>
      <c r="C5" s="9">
        <v>1</v>
      </c>
      <c r="D5" s="9">
        <v>130</v>
      </c>
      <c r="E5" s="13">
        <v>1.5</v>
      </c>
    </row>
    <row r="6" ht="15.6">
      <c r="A6" s="9">
        <v>5</v>
      </c>
      <c r="B6" s="9" t="s">
        <v>49</v>
      </c>
      <c r="C6" s="9">
        <v>1</v>
      </c>
      <c r="D6" s="9">
        <v>160</v>
      </c>
      <c r="E6" s="13">
        <v>2</v>
      </c>
    </row>
    <row r="7" ht="15.6">
      <c r="A7" s="9">
        <v>6</v>
      </c>
      <c r="B7" s="9" t="s">
        <v>50</v>
      </c>
      <c r="C7" s="9">
        <v>1</v>
      </c>
      <c r="D7" s="9">
        <v>100</v>
      </c>
      <c r="E7" s="13">
        <v>1</v>
      </c>
    </row>
    <row r="8" ht="15.6">
      <c r="A8" s="9">
        <v>7</v>
      </c>
      <c r="B8" s="9" t="s">
        <v>51</v>
      </c>
      <c r="C8" s="9">
        <v>1</v>
      </c>
      <c r="D8" s="9">
        <v>90</v>
      </c>
      <c r="E8" s="13">
        <v>1</v>
      </c>
    </row>
    <row r="9" ht="15.6">
      <c r="A9" s="10"/>
      <c r="B9" s="10"/>
      <c r="C9" s="10"/>
      <c r="D9" s="10"/>
      <c r="E9" s="10"/>
    </row>
    <row r="10" ht="15.6">
      <c r="A10" s="14"/>
      <c r="B10" s="14"/>
      <c r="C10" s="14"/>
      <c r="D10" s="14"/>
      <c r="E10" s="14"/>
    </row>
    <row r="11" ht="15.6">
      <c r="A11" s="14"/>
      <c r="B11" s="14"/>
      <c r="C11" s="14"/>
      <c r="D11" s="14"/>
      <c r="E11" s="14"/>
    </row>
    <row r="12" ht="15.6">
      <c r="A12" s="14"/>
      <c r="B12" s="14"/>
      <c r="C12" s="14"/>
      <c r="D12" s="14"/>
      <c r="E12" s="14"/>
    </row>
    <row r="13" ht="15.6">
      <c r="A13" s="14"/>
      <c r="B13" s="14"/>
      <c r="C13" s="14"/>
      <c r="D13" s="14"/>
      <c r="E13" s="14"/>
    </row>
    <row r="14" ht="15.6">
      <c r="A14" s="14"/>
      <c r="B14" s="14"/>
      <c r="C14" s="14"/>
      <c r="D14" s="14"/>
      <c r="E14" s="14"/>
    </row>
    <row r="15" ht="15.6">
      <c r="A15" s="14"/>
      <c r="B15" s="14"/>
      <c r="C15" s="14"/>
      <c r="D15" s="14"/>
      <c r="E15" s="14"/>
    </row>
    <row r="16" ht="15.6">
      <c r="A16" s="14"/>
      <c r="B16" s="14"/>
      <c r="C16" s="14"/>
      <c r="D16" s="14"/>
      <c r="E16" s="14"/>
    </row>
    <row r="17" ht="15.6">
      <c r="A17" s="14"/>
      <c r="B17" s="14"/>
      <c r="C17" s="14"/>
      <c r="D17" s="14"/>
      <c r="E17" s="14"/>
    </row>
    <row r="18" ht="15.6">
      <c r="A18" s="14"/>
      <c r="B18" s="14"/>
      <c r="C18" s="14"/>
      <c r="D18" s="14"/>
      <c r="E18" s="14"/>
    </row>
    <row r="19" ht="15.6">
      <c r="A19" s="14"/>
      <c r="B19" s="14"/>
      <c r="C19" s="14"/>
      <c r="D19" s="14"/>
      <c r="E19" s="14"/>
    </row>
    <row r="20" ht="15.6">
      <c r="A20" s="14"/>
      <c r="B20" s="14"/>
      <c r="C20" s="14"/>
      <c r="D20" s="14"/>
      <c r="E20" s="14"/>
    </row>
    <row r="21" ht="15.6">
      <c r="A21" s="14"/>
      <c r="B21" s="14"/>
      <c r="C21" s="14"/>
      <c r="D21" s="14"/>
      <c r="E21" s="14"/>
    </row>
    <row r="22" ht="15.6">
      <c r="A22" s="14"/>
      <c r="B22" s="14"/>
      <c r="C22" s="14"/>
      <c r="D22" s="14"/>
      <c r="E22" s="14"/>
    </row>
    <row r="23" ht="15.6">
      <c r="A23" s="14"/>
      <c r="B23" s="14"/>
      <c r="C23" s="14"/>
      <c r="D23" s="14"/>
      <c r="E23" s="14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1" zoomScale="100" workbookViewId="0">
      <selection activeCell="A1" activeCellId="0" sqref="A1"/>
    </sheetView>
  </sheetViews>
  <sheetFormatPr defaultColWidth="8.90234375" defaultRowHeight="15"/>
  <cols>
    <col customWidth="1" min="1" max="1" width="5.5300002098083496"/>
    <col customWidth="1" min="2" max="2" width="27.440000534057617"/>
    <col customWidth="1" min="3" max="4" width="18.530000686645508"/>
    <col customWidth="1" min="5" max="5" width="22.170000076293945"/>
  </cols>
  <sheetData>
    <row r="1" ht="52" customHeight="1">
      <c r="A1" s="15" t="s">
        <v>52</v>
      </c>
      <c r="B1" s="15"/>
      <c r="C1" s="15"/>
      <c r="D1" s="15"/>
      <c r="E1" s="15"/>
    </row>
    <row r="2" ht="52.549999999999997" customHeight="1">
      <c r="A2" s="12" t="s">
        <v>40</v>
      </c>
      <c r="B2" s="12" t="s">
        <v>53</v>
      </c>
      <c r="C2" s="12" t="s">
        <v>54</v>
      </c>
      <c r="D2" s="12" t="s">
        <v>55</v>
      </c>
      <c r="E2" s="16" t="s">
        <v>56</v>
      </c>
      <c r="F2" s="3"/>
    </row>
    <row r="3" ht="30">
      <c r="A3" s="9">
        <v>1</v>
      </c>
      <c r="B3" s="9" t="s">
        <v>57</v>
      </c>
      <c r="C3" s="9">
        <v>1</v>
      </c>
      <c r="D3" s="9">
        <v>120000</v>
      </c>
      <c r="E3" s="9">
        <v>144000</v>
      </c>
      <c r="F3" s="3"/>
    </row>
    <row r="4" ht="30">
      <c r="A4" s="9">
        <v>2</v>
      </c>
      <c r="B4" s="9" t="s">
        <v>58</v>
      </c>
      <c r="C4" s="9">
        <v>2</v>
      </c>
      <c r="D4" s="9">
        <v>80000</v>
      </c>
      <c r="E4" s="9">
        <v>192000</v>
      </c>
      <c r="F4" s="3"/>
    </row>
    <row r="5" ht="45">
      <c r="A5" s="9">
        <v>3</v>
      </c>
      <c r="B5" s="9" t="s">
        <v>59</v>
      </c>
      <c r="C5" s="9" t="s">
        <v>60</v>
      </c>
      <c r="D5" s="9">
        <v>25000</v>
      </c>
      <c r="E5" s="9">
        <v>60000</v>
      </c>
      <c r="F5" s="3"/>
    </row>
    <row r="6" ht="30">
      <c r="A6" s="9">
        <v>4</v>
      </c>
      <c r="B6" s="9" t="s">
        <v>61</v>
      </c>
      <c r="C6" s="9" t="s">
        <v>62</v>
      </c>
      <c r="D6" s="9">
        <v>5000</v>
      </c>
      <c r="E6" s="9">
        <v>18000</v>
      </c>
      <c r="F6" s="3"/>
    </row>
    <row r="7" ht="45">
      <c r="A7" s="9">
        <v>5</v>
      </c>
      <c r="B7" s="9" t="s">
        <v>63</v>
      </c>
      <c r="C7" s="9" t="s">
        <v>62</v>
      </c>
      <c r="D7" s="9">
        <v>3000</v>
      </c>
      <c r="E7" s="9">
        <v>10800</v>
      </c>
      <c r="F7" s="3"/>
    </row>
    <row r="8" ht="15.6">
      <c r="A8" s="9">
        <v>6</v>
      </c>
      <c r="B8" s="9" t="s">
        <v>64</v>
      </c>
      <c r="C8" s="9">
        <v>1</v>
      </c>
      <c r="D8" s="9">
        <v>3000</v>
      </c>
      <c r="E8" s="9">
        <v>3600</v>
      </c>
      <c r="F8" s="3"/>
    </row>
    <row r="9" ht="30">
      <c r="A9" s="9">
        <v>7</v>
      </c>
      <c r="B9" s="9" t="s">
        <v>65</v>
      </c>
      <c r="C9" s="9">
        <v>1</v>
      </c>
      <c r="D9" s="9">
        <v>5000</v>
      </c>
      <c r="E9" s="9">
        <v>6000</v>
      </c>
      <c r="F9" s="3"/>
    </row>
    <row r="10" ht="30">
      <c r="A10" s="9">
        <v>8</v>
      </c>
      <c r="B10" s="9" t="s">
        <v>66</v>
      </c>
      <c r="C10" s="9">
        <v>1</v>
      </c>
      <c r="D10" s="9">
        <v>10000</v>
      </c>
      <c r="E10" s="9">
        <v>12000</v>
      </c>
      <c r="F10" s="3"/>
    </row>
    <row r="11" ht="15.6">
      <c r="A11" s="12" t="s">
        <v>67</v>
      </c>
      <c r="B11" s="12"/>
      <c r="C11" s="12"/>
      <c r="D11" s="12"/>
      <c r="E11" s="10">
        <f>SUM(E3:E10)</f>
        <v>446400</v>
      </c>
      <c r="F11" s="3"/>
    </row>
    <row r="12" ht="15.6" customHeight="1">
      <c r="F12" s="3"/>
    </row>
    <row r="13" ht="15.050000000000001">
      <c r="A13" s="3"/>
      <c r="B13" s="3"/>
      <c r="C13" s="3"/>
      <c r="D13" s="3"/>
      <c r="E13" s="3"/>
      <c r="F13" s="3"/>
    </row>
    <row r="14" ht="15.050000000000001">
      <c r="A14" s="3"/>
      <c r="B14" s="3"/>
      <c r="C14" s="3"/>
      <c r="D14" s="3"/>
      <c r="E14" s="3"/>
      <c r="F14" s="3"/>
    </row>
    <row r="15" ht="15.050000000000001">
      <c r="A15" s="3"/>
      <c r="B15" s="3"/>
      <c r="C15" s="3"/>
      <c r="D15" s="3"/>
      <c r="E15" s="3"/>
      <c r="F15" s="3"/>
    </row>
  </sheetData>
  <mergeCells count="2">
    <mergeCell ref="A1:E1"/>
    <mergeCell ref="A11:D1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1" zoomScale="100" workbookViewId="0">
      <selection activeCell="A1" activeCellId="0" sqref="A1"/>
    </sheetView>
  </sheetViews>
  <sheetFormatPr defaultColWidth="8.90234375" defaultRowHeight="15.649999618530273"/>
  <cols>
    <col customWidth="0" min="1" max="1" style="17" width="8.8999996185302734"/>
    <col customWidth="1" min="2" max="2" style="17" width="26.899999618530273"/>
    <col customWidth="1" min="3" max="3" style="17" width="27.440000534057617"/>
    <col customWidth="1" min="4" max="4" style="17" width="16.450000762939453"/>
    <col customWidth="1" min="5" max="5" style="17" width="19.540000915527344"/>
    <col customWidth="1" min="6" max="6" style="17" width="16.450000762939453"/>
    <col customWidth="1" min="7" max="7" style="17" width="27.629999160766602"/>
    <col customWidth="1" min="8" max="8" style="17" width="23.620000839233398"/>
    <col customWidth="1" min="9" max="9" style="17" width="19.440000534057617"/>
    <col customWidth="1" min="10" max="10" style="17" width="13.350000381469727"/>
    <col customWidth="1" min="11" max="11" style="17" width="2.809999942779541"/>
    <col customWidth="0" min="12" max="257" style="17" width="8.8999996185302734"/>
  </cols>
  <sheetData>
    <row r="1" ht="15.6">
      <c r="I1" s="18" t="s">
        <v>68</v>
      </c>
    </row>
    <row r="3" ht="15.6">
      <c r="A3" s="19" t="s">
        <v>69</v>
      </c>
      <c r="B3" s="19"/>
      <c r="C3" s="19"/>
      <c r="D3" s="19"/>
      <c r="E3" s="19"/>
      <c r="F3" s="19"/>
      <c r="G3" s="19"/>
      <c r="H3" s="19"/>
      <c r="I3" s="19"/>
      <c r="J3" s="20"/>
    </row>
    <row r="4" ht="31.5" customHeight="1">
      <c r="A4" s="21" t="s">
        <v>70</v>
      </c>
      <c r="B4" s="21"/>
      <c r="C4" s="21"/>
      <c r="D4" s="21"/>
      <c r="E4" s="21"/>
      <c r="F4" s="21"/>
      <c r="G4" s="21"/>
      <c r="H4" s="21"/>
      <c r="I4" s="21"/>
      <c r="J4" s="20"/>
    </row>
    <row r="5" ht="15.6">
      <c r="A5" s="22" t="s">
        <v>71</v>
      </c>
      <c r="B5" s="22"/>
      <c r="C5" s="22"/>
      <c r="D5" s="22"/>
      <c r="E5" s="22"/>
      <c r="F5" s="22"/>
      <c r="G5" s="22"/>
      <c r="H5" s="22"/>
      <c r="I5" s="22"/>
      <c r="J5" s="20"/>
    </row>
    <row r="6" ht="16.25"/>
    <row r="7" ht="43.5" customHeight="1">
      <c r="A7" s="23" t="s">
        <v>72</v>
      </c>
      <c r="B7" s="23" t="s">
        <v>73</v>
      </c>
      <c r="C7" s="23" t="s">
        <v>74</v>
      </c>
      <c r="D7" s="23"/>
      <c r="E7" s="23" t="s">
        <v>75</v>
      </c>
      <c r="F7" s="23"/>
      <c r="G7" s="23" t="s">
        <v>76</v>
      </c>
      <c r="H7" s="23" t="s">
        <v>77</v>
      </c>
      <c r="I7" s="23" t="s">
        <v>78</v>
      </c>
      <c r="J7" s="24"/>
    </row>
    <row r="8" ht="43.5" customHeight="1">
      <c r="A8" s="23"/>
      <c r="B8" s="23"/>
      <c r="C8" s="23" t="s">
        <v>41</v>
      </c>
      <c r="D8" s="23" t="s">
        <v>79</v>
      </c>
      <c r="E8" s="23" t="s">
        <v>80</v>
      </c>
      <c r="F8" s="23" t="s">
        <v>81</v>
      </c>
      <c r="G8" s="23"/>
      <c r="H8" s="23"/>
      <c r="I8" s="23"/>
      <c r="J8" s="24"/>
    </row>
    <row r="9" ht="16.25">
      <c r="A9" s="25">
        <v>1</v>
      </c>
      <c r="B9" s="26"/>
      <c r="C9" s="26">
        <v>2</v>
      </c>
      <c r="D9" s="26">
        <v>3</v>
      </c>
      <c r="E9" s="26">
        <v>4</v>
      </c>
      <c r="F9" s="26">
        <v>5</v>
      </c>
      <c r="G9" s="26">
        <v>6</v>
      </c>
      <c r="H9" s="26">
        <v>7</v>
      </c>
      <c r="I9" s="27" t="s">
        <v>82</v>
      </c>
      <c r="J9" s="28"/>
    </row>
    <row r="10" ht="47.450000000000003" customHeight="1">
      <c r="A10" s="29" t="s">
        <v>83</v>
      </c>
      <c r="B10" s="29"/>
      <c r="C10" s="30" t="s">
        <v>45</v>
      </c>
      <c r="D10" s="30">
        <v>1</v>
      </c>
      <c r="E10" s="31">
        <v>45901</v>
      </c>
      <c r="F10" s="32">
        <v>46174</v>
      </c>
      <c r="G10" s="30">
        <v>100</v>
      </c>
      <c r="H10" s="30">
        <v>900</v>
      </c>
      <c r="I10" s="33">
        <f t="shared" ref="I10:I21" si="0">D10*G10*H10</f>
        <v>90000</v>
      </c>
      <c r="J10" s="28"/>
    </row>
    <row r="11" ht="16.25">
      <c r="A11" s="29"/>
      <c r="B11" s="29"/>
      <c r="C11" s="30" t="s">
        <v>84</v>
      </c>
      <c r="D11" s="30">
        <v>1</v>
      </c>
      <c r="E11" s="31">
        <v>45901</v>
      </c>
      <c r="F11" s="32">
        <v>46174</v>
      </c>
      <c r="G11" s="30">
        <v>500</v>
      </c>
      <c r="H11" s="30">
        <v>500</v>
      </c>
      <c r="I11" s="33">
        <f t="shared" si="0"/>
        <v>250000</v>
      </c>
      <c r="J11" s="34"/>
    </row>
    <row r="12" ht="16.25">
      <c r="A12" s="29"/>
      <c r="B12" s="29"/>
      <c r="C12" s="30" t="s">
        <v>85</v>
      </c>
      <c r="D12" s="30">
        <v>1</v>
      </c>
      <c r="E12" s="31">
        <v>45901</v>
      </c>
      <c r="F12" s="32">
        <v>46174</v>
      </c>
      <c r="G12" s="30"/>
      <c r="H12" s="30"/>
      <c r="I12" s="33">
        <f t="shared" si="0"/>
        <v>0</v>
      </c>
      <c r="J12" s="34"/>
    </row>
    <row r="13" ht="16.25">
      <c r="A13" s="29"/>
      <c r="B13" s="29"/>
      <c r="C13" s="30" t="s">
        <v>86</v>
      </c>
      <c r="D13" s="30">
        <v>4</v>
      </c>
      <c r="E13" s="31">
        <v>45901</v>
      </c>
      <c r="F13" s="32">
        <v>46174</v>
      </c>
      <c r="G13" s="35"/>
      <c r="H13" s="30"/>
      <c r="I13" s="33">
        <f t="shared" si="0"/>
        <v>0</v>
      </c>
      <c r="J13" s="34"/>
    </row>
    <row r="14" ht="16.25">
      <c r="A14" s="29"/>
      <c r="B14" s="29"/>
      <c r="C14" s="30" t="s">
        <v>87</v>
      </c>
      <c r="D14" s="30">
        <v>4</v>
      </c>
      <c r="E14" s="31">
        <v>45901</v>
      </c>
      <c r="F14" s="32">
        <v>46174</v>
      </c>
      <c r="G14" s="35"/>
      <c r="H14" s="30"/>
      <c r="I14" s="33">
        <f t="shared" si="0"/>
        <v>0</v>
      </c>
      <c r="J14" s="34"/>
      <c r="K14" s="17"/>
    </row>
    <row r="15" ht="16.25">
      <c r="A15" s="29"/>
      <c r="B15" s="29"/>
      <c r="C15" s="30" t="s">
        <v>88</v>
      </c>
      <c r="D15" s="30">
        <v>2</v>
      </c>
      <c r="E15" s="31">
        <v>45901</v>
      </c>
      <c r="F15" s="32">
        <v>46174</v>
      </c>
      <c r="G15" s="35"/>
      <c r="H15" s="30"/>
      <c r="I15" s="33">
        <f t="shared" si="0"/>
        <v>0</v>
      </c>
      <c r="J15" s="34"/>
      <c r="K15" s="17"/>
    </row>
    <row r="16" ht="16.25">
      <c r="A16" s="29"/>
      <c r="B16" s="29"/>
      <c r="C16" s="30" t="s">
        <v>89</v>
      </c>
      <c r="D16" s="30">
        <v>1</v>
      </c>
      <c r="E16" s="31">
        <v>45901</v>
      </c>
      <c r="F16" s="32">
        <v>46174</v>
      </c>
      <c r="G16" s="35"/>
      <c r="H16" s="30"/>
      <c r="I16" s="33">
        <f t="shared" si="0"/>
        <v>0</v>
      </c>
      <c r="J16" s="34"/>
      <c r="K16" s="36"/>
    </row>
    <row r="17" ht="16.25">
      <c r="A17" s="29"/>
      <c r="B17" s="29"/>
      <c r="C17" s="30" t="s">
        <v>90</v>
      </c>
      <c r="D17" s="30">
        <v>2</v>
      </c>
      <c r="E17" s="31">
        <v>45901</v>
      </c>
      <c r="F17" s="32">
        <v>46174</v>
      </c>
      <c r="G17" s="35"/>
      <c r="H17" s="30"/>
      <c r="I17" s="33">
        <f t="shared" si="0"/>
        <v>0</v>
      </c>
      <c r="J17" s="34"/>
      <c r="K17" s="36"/>
    </row>
    <row r="18" ht="16.25">
      <c r="A18" s="29"/>
      <c r="B18" s="29"/>
      <c r="C18" s="30" t="s">
        <v>91</v>
      </c>
      <c r="D18" s="30">
        <v>3</v>
      </c>
      <c r="E18" s="31">
        <v>45901</v>
      </c>
      <c r="F18" s="32">
        <v>46174</v>
      </c>
      <c r="G18" s="35"/>
      <c r="H18" s="30"/>
      <c r="I18" s="33">
        <f t="shared" si="0"/>
        <v>0</v>
      </c>
      <c r="J18" s="34"/>
      <c r="K18" s="36"/>
    </row>
    <row r="19" ht="16.25">
      <c r="A19" s="29"/>
      <c r="B19" s="29"/>
      <c r="C19" s="30" t="s">
        <v>92</v>
      </c>
      <c r="D19" s="30">
        <v>1</v>
      </c>
      <c r="E19" s="31">
        <v>45901</v>
      </c>
      <c r="F19" s="32">
        <v>46174</v>
      </c>
      <c r="G19" s="35"/>
      <c r="H19" s="30"/>
      <c r="I19" s="33">
        <f t="shared" si="0"/>
        <v>0</v>
      </c>
      <c r="J19" s="34"/>
      <c r="K19" s="36"/>
    </row>
    <row r="20" ht="16.25">
      <c r="A20" s="29"/>
      <c r="B20" s="29"/>
      <c r="C20" s="30" t="s">
        <v>93</v>
      </c>
      <c r="D20" s="30">
        <v>1</v>
      </c>
      <c r="E20" s="31">
        <v>45901</v>
      </c>
      <c r="F20" s="32">
        <v>46174</v>
      </c>
      <c r="G20" s="30"/>
      <c r="H20" s="30"/>
      <c r="I20" s="33">
        <f t="shared" si="0"/>
        <v>0</v>
      </c>
      <c r="J20" s="34"/>
      <c r="K20" s="36"/>
    </row>
    <row r="21" ht="15.6">
      <c r="A21" s="29"/>
      <c r="B21" s="29"/>
      <c r="C21" s="30" t="s">
        <v>94</v>
      </c>
      <c r="D21" s="30">
        <v>1</v>
      </c>
      <c r="E21" s="31">
        <v>45901</v>
      </c>
      <c r="F21" s="32">
        <v>46174</v>
      </c>
      <c r="G21" s="30"/>
      <c r="H21" s="30"/>
      <c r="I21" s="33">
        <f t="shared" si="0"/>
        <v>0</v>
      </c>
      <c r="J21" s="34"/>
      <c r="K21" s="36"/>
    </row>
    <row r="22" ht="30.699999999999999" customHeight="1">
      <c r="A22" s="37"/>
      <c r="B22" s="38"/>
      <c r="C22" s="39"/>
      <c r="D22" s="40"/>
      <c r="E22" s="41"/>
      <c r="F22" s="42"/>
      <c r="G22" s="40"/>
      <c r="H22" s="43"/>
      <c r="I22" s="44"/>
      <c r="J22" s="34"/>
      <c r="K22" s="17"/>
    </row>
    <row r="23" ht="19.850000000000001" customHeight="1">
      <c r="A23" s="45" t="s">
        <v>95</v>
      </c>
      <c r="B23" s="45"/>
      <c r="C23" s="45"/>
      <c r="D23" s="45"/>
      <c r="E23" s="45"/>
      <c r="F23" s="45"/>
      <c r="G23" s="45"/>
      <c r="H23" s="45"/>
      <c r="I23" s="46">
        <f>SUM(I10:I22)</f>
        <v>340000</v>
      </c>
      <c r="K23" s="17"/>
    </row>
    <row r="24" ht="19.850000000000001" customHeight="1">
      <c r="A24" s="47" t="s">
        <v>96</v>
      </c>
      <c r="B24" s="47"/>
      <c r="C24" s="47"/>
      <c r="D24" s="47"/>
      <c r="E24" s="47"/>
      <c r="F24" s="47"/>
      <c r="G24" s="47"/>
      <c r="H24" s="47"/>
      <c r="I24" s="48"/>
      <c r="J24" s="28"/>
      <c r="K24" s="17"/>
    </row>
    <row r="25" ht="19.850000000000001" customHeight="1">
      <c r="A25" s="49" t="s">
        <v>97</v>
      </c>
      <c r="B25" s="49"/>
      <c r="C25" s="49"/>
      <c r="D25" s="49"/>
      <c r="E25" s="49"/>
      <c r="F25" s="49"/>
      <c r="G25" s="49"/>
      <c r="H25" s="49"/>
      <c r="I25" s="50">
        <f>I23</f>
        <v>340000</v>
      </c>
      <c r="J25" s="28"/>
      <c r="K25" s="51"/>
    </row>
    <row r="26" ht="19.449999999999999" customHeight="1">
      <c r="A26" s="49" t="s">
        <v>98</v>
      </c>
      <c r="B26" s="49"/>
      <c r="C26" s="49"/>
      <c r="D26" s="49"/>
      <c r="E26" s="49"/>
      <c r="F26" s="49"/>
      <c r="G26" s="49"/>
      <c r="H26" s="49"/>
      <c r="I26" s="52">
        <f>I25*0.1</f>
        <v>34000</v>
      </c>
      <c r="J26" s="53"/>
      <c r="K26" s="54"/>
    </row>
    <row r="27" ht="19.449999999999999" customHeight="1">
      <c r="A27" s="55" t="s">
        <v>99</v>
      </c>
      <c r="B27" s="55"/>
      <c r="C27" s="55"/>
      <c r="D27" s="55"/>
      <c r="E27" s="55"/>
      <c r="F27" s="55"/>
      <c r="G27" s="55"/>
      <c r="H27" s="55"/>
      <c r="I27" s="56">
        <f>'Технические ограничения'!E11</f>
        <v>446400</v>
      </c>
      <c r="J27" s="28"/>
      <c r="K27" s="54"/>
    </row>
    <row r="28" ht="19.850000000000001" customHeight="1">
      <c r="A28" s="55" t="s">
        <v>100</v>
      </c>
      <c r="B28" s="55"/>
      <c r="C28" s="55"/>
      <c r="D28" s="55"/>
      <c r="E28" s="55"/>
      <c r="F28" s="55"/>
      <c r="G28" s="55"/>
      <c r="H28" s="55"/>
      <c r="I28" s="56">
        <v>0</v>
      </c>
      <c r="J28" s="28"/>
      <c r="K28" s="54"/>
    </row>
    <row r="29" ht="19.850000000000001" customHeight="1">
      <c r="A29" s="57" t="s">
        <v>101</v>
      </c>
      <c r="B29" s="57"/>
      <c r="C29" s="57"/>
      <c r="D29" s="57"/>
      <c r="E29" s="57"/>
      <c r="F29" s="57"/>
      <c r="G29" s="57"/>
      <c r="H29" s="57"/>
      <c r="I29" s="50">
        <f>I25+I26+I27+I28</f>
        <v>820400</v>
      </c>
      <c r="J29" s="28"/>
      <c r="K29" s="51"/>
    </row>
    <row r="30" ht="19.850000000000001" customHeight="1">
      <c r="A30" s="55" t="s">
        <v>102</v>
      </c>
      <c r="B30" s="55"/>
      <c r="C30" s="55"/>
      <c r="D30" s="55"/>
      <c r="E30" s="55"/>
      <c r="F30" s="55"/>
      <c r="G30" s="55"/>
      <c r="H30" s="55"/>
      <c r="I30" s="56">
        <v>0</v>
      </c>
      <c r="J30" s="28"/>
      <c r="K30" s="54"/>
    </row>
    <row r="31" ht="19.850000000000001" customHeight="1">
      <c r="A31" s="58" t="s">
        <v>103</v>
      </c>
      <c r="B31" s="58"/>
      <c r="C31" s="58"/>
      <c r="D31" s="58"/>
      <c r="E31" s="58"/>
      <c r="F31" s="58"/>
      <c r="G31" s="58"/>
      <c r="H31" s="58"/>
      <c r="I31" s="56">
        <f>I29+I30</f>
        <v>820400</v>
      </c>
      <c r="J31" s="28"/>
      <c r="K31" s="54"/>
    </row>
    <row r="32" ht="19.850000000000001" customHeight="1">
      <c r="A32" s="49" t="s">
        <v>104</v>
      </c>
      <c r="B32" s="49"/>
      <c r="C32" s="49"/>
      <c r="D32" s="49"/>
      <c r="E32" s="49"/>
      <c r="F32" s="49"/>
      <c r="G32" s="49"/>
      <c r="H32" s="49"/>
      <c r="I32" s="56">
        <f>I31*0.1</f>
        <v>82040</v>
      </c>
      <c r="J32" s="53"/>
      <c r="K32" s="54"/>
      <c r="Q32" s="59"/>
    </row>
    <row r="33" ht="19.850000000000001" customHeight="1">
      <c r="A33" s="60" t="s">
        <v>105</v>
      </c>
      <c r="B33" s="60"/>
      <c r="C33" s="60"/>
      <c r="D33" s="60"/>
      <c r="E33" s="60"/>
      <c r="F33" s="60"/>
      <c r="G33" s="60"/>
      <c r="H33" s="60"/>
      <c r="I33" s="61">
        <f>I32+I31</f>
        <v>902440</v>
      </c>
      <c r="J33" s="59"/>
      <c r="K33" s="51"/>
    </row>
    <row r="34" ht="19.449999999999999" customHeight="1">
      <c r="A34" s="62" t="s">
        <v>106</v>
      </c>
      <c r="B34" s="62"/>
      <c r="C34" s="62"/>
      <c r="D34" s="62"/>
      <c r="E34" s="62"/>
      <c r="F34" s="62"/>
      <c r="G34" s="62"/>
      <c r="H34" s="62"/>
      <c r="I34" s="56">
        <f>I33*0.22</f>
        <v>198536.79999999999</v>
      </c>
      <c r="J34" s="59"/>
      <c r="K34" s="51"/>
    </row>
    <row r="35" ht="16.25" customHeight="1">
      <c r="A35" s="63" t="s">
        <v>107</v>
      </c>
      <c r="B35" s="63"/>
      <c r="C35" s="63"/>
      <c r="D35" s="63"/>
      <c r="E35" s="63"/>
      <c r="F35" s="63"/>
      <c r="G35" s="63"/>
      <c r="H35" s="63"/>
      <c r="I35" s="64">
        <f>I33+0.22*I33</f>
        <v>1100976.8</v>
      </c>
    </row>
    <row r="36" ht="15.6">
      <c r="K36" s="17"/>
    </row>
    <row r="37" ht="15.6">
      <c r="K37" s="17"/>
    </row>
    <row r="40" ht="34.450000000000003" customHeight="1"/>
  </sheetData>
  <mergeCells count="25">
    <mergeCell ref="A3:I3"/>
    <mergeCell ref="A4:I4"/>
    <mergeCell ref="A5:I5"/>
    <mergeCell ref="A7:A8"/>
    <mergeCell ref="B7:B8"/>
    <mergeCell ref="C7:D7"/>
    <mergeCell ref="E7:F7"/>
    <mergeCell ref="G7:G8"/>
    <mergeCell ref="H7:H8"/>
    <mergeCell ref="I7:I8"/>
    <mergeCell ref="J7:J8"/>
    <mergeCell ref="A10:B21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A33:H33"/>
    <mergeCell ref="A34:H34"/>
    <mergeCell ref="A35:H3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