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readedComments/threadedComment3.xml" ContentType="application/vnd.ms-excel.threadedcomments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readedComments/threadedComment4.xml" ContentType="application/vnd.ms-excel.threadedcomment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comments4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6.xml" ContentType="application/vnd.ms-excel.threadedcomments+xml"/>
  <Override PartName="/xl/comments6.xml" ContentType="application/vnd.openxmlformats-officedocument.spreadsheetml.comments+xml"/>
  <Override PartName="/xl/comments1.xml" ContentType="application/vnd.openxmlformats-officedocument.spreadsheetml.comments+xml"/>
  <Override PartName="/xl/worksheets/sheet12.xml" ContentType="application/vnd.openxmlformats-officedocument.spreadsheetml.worksheet+xml"/>
  <Override PartName="/xl/threadedComments/threadedComment1.xml" ContentType="application/vnd.ms-excel.threadedcomments+xml"/>
  <Override PartName="/xl/worksheets/sheet6.xml" ContentType="application/vnd.openxmlformats-officedocument.spreadsheetml.worksheet+xml"/>
  <Override PartName="/xl/persons/person.xml" ContentType="application/vnd.ms-excel.person+xml"/>
  <Override PartName="/xl/sharedStrings.xml" ContentType="application/vnd.openxmlformats-officedocument.spreadsheetml.sharedStrings+xml"/>
  <Override PartName="/xl/threadedComments/threadedComment7.xml" ContentType="application/vnd.ms-excel.threadedcomments+xml"/>
  <Override PartName="/docProps/core.xml" ContentType="application/vnd.openxmlformats-package.core-propertie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12"/>
  </bookViews>
  <sheets>
    <sheet name="Паспорт проекта" sheetId="1" state="visible" r:id="rId2"/>
    <sheet name="Подготовка данных" sheetId="2" state="visible" r:id="rId3"/>
    <sheet name="Моделирование" sheetId="3" state="visible" r:id="rId4"/>
    <sheet name="Оценка результата " sheetId="4" state="visible" r:id="rId5"/>
    <sheet name="Внедрение" sheetId="5" state="visible" r:id="rId6"/>
    <sheet name="Временные ограничения" sheetId="6" state="visible" r:id="rId7"/>
    <sheet name="Трудовые ограничения" sheetId="7" state="visible" r:id="rId8"/>
    <sheet name="Технические ограничения" sheetId="8" state="visible" r:id="rId9"/>
    <sheet name="Смета (финансовые ограничения)" sheetId="9" state="visible" r:id="rId10"/>
    <sheet name="Реестр рисков" sheetId="10" state="visible" r:id="rId11"/>
    <sheet name="RACI-матрица" sheetId="11" state="visible" r:id="rId12"/>
    <sheet name="План управления качеством" sheetId="12" state="visible" r:id="rId13"/>
    <sheet name="Инструменты контроля качества" sheetId="13" state="visible" r:id="rId14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tc={00E500DF-0023-4976-831D-002800DB00AE}</author>
    <author>tc={0060001A-0062-4CD4-AA9F-00B0007C0097}</author>
  </authors>
  <commentList>
    <comment ref="A20" authorId="0" xr:uid="{00E500DF-0023-4976-831D-002800DB00AE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пречислить верхнеуровневые риски - 3-5
</t>
        </r>
      </text>
    </comment>
    <comment ref="A6" authorId="1" xr:uid="{0060001A-0062-4CD4-AA9F-00B0007C0097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Определяем достижение цели через количественные показатели - минимум 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tc={001B0076-00F7-4111-86E6-00F6004A0004}</author>
  </authors>
  <commentList>
    <comment ref="A1" authorId="0" xr:uid="{001B0076-00F7-4111-86E6-00F6004A0004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Перечислить состав команды, з/п в месяц и продолжительность задействования в проекте по каждому сотруднику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tc={001F00BF-009A-4F71-85CE-000D00330049}</author>
  </authors>
  <commentList>
    <comment ref="E3" authorId="0" xr:uid="{001F00BF-009A-4F71-85CE-000D00330049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(Количество × Стоимость) × коэффициент удорожания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tc={00A200D1-0095-4C0A-851F-00B600E70075}</author>
  </authors>
  <commentList>
    <comment ref="A27" authorId="0" xr:uid="{00A200D1-0095-4C0A-851F-00B600E70075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Итоговая стоимость по техническим ограничениям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tc={00E80046-003E-4BE4-B774-002300810012}</author>
  </authors>
  <commentList>
    <comment ref="C1" authorId="0" xr:uid="{00E80046-003E-4BE4-B774-002300810012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почему это может произойти?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tc={007C00B5-0035-4633-B6F3-00BF003C0088}</author>
    <author>tc={00D200F9-001D-475D-9A16-005E00C30068}</author>
    <author>tc={005600B1-008F-4744-BD89-00BE00AF0005}</author>
    <author>tc={009B00DC-0082-4D13-A895-003C00D50010}</author>
    <author>tc={003A006E-00EB-4BD1-AC24-0035009C00BE}</author>
    <author>tc={00EF00DD-000C-44EA-9F16-001300CC00AE}</author>
    <author>tc={003B0056-00B0-422A-8274-00FE009B00BB}</author>
    <author>tc={00D40033-000C-4515-8FA8-002F00930085}</author>
    <author>tc={000200B3-0034-4B54-9A6E-00C6006900A8}</author>
    <author>tc={008F00DA-00EA-40D3-8F72-000D00C70001}</author>
    <author>tc={000D00EB-00E5-4E88-849F-008F00D80086}</author>
  </authors>
  <commentList>
    <comment ref="B5" authorId="0" xr:uid="{007C00B5-0035-4633-B6F3-00BF003C0088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Получает регулярные обновления о статусе уточнения требований для корректировки планов
</t>
        </r>
      </text>
    </comment>
    <comment ref="K5" authorId="1" xr:uid="{00D200F9-001D-475D-9A16-005E00C30068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Разъясняет бизнес-цели и приоритеты, утверждает ключевые границы продукта
</t>
        </r>
      </text>
    </comment>
    <comment ref="L5" authorId="2" xr:uid="{005600B1-008F-4744-BD89-00BE00AF0005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Предоставляет информацию о текущих бизнес-процессах, данных и технических ограничениях со стороны заказчика
</t>
        </r>
      </text>
    </comment>
    <comment ref="C5" authorId="3" xr:uid="{009B00DC-0082-4D13-A895-003C00D50010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Консультирует о реализуемости интерфейсных решений, предлагает прототипы для уточнения
</t>
        </r>
      </text>
    </comment>
    <comment ref="D5" authorId="4" xr:uid="{003A006E-00EB-4BD1-AC24-0035009C00BE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Оценивает техническую реализуемость API и логики с точки зрения архитектуры
</t>
        </r>
      </text>
    </comment>
    <comment ref="E5" authorId="5" xr:uid="{00EF00DD-000C-44EA-9F16-001300CC00AE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Отвечает за полноту, непротиворечивость и формализацию требований, финализирует спецификацию
</t>
        </r>
      </text>
    </comment>
    <comment ref="F5" authorId="6" xr:uid="{003B0056-00B0-422A-8274-00FE009B00BB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(Документирует требования и пользовательские сценарии на понятном для команды языке
</t>
        </r>
      </text>
    </comment>
    <comment ref="G5" authorId="7" xr:uid="{00D40033-000C-4515-8FA8-002F00930085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Консультирует по инфраструктурным требованиям и ограничениям, влияющим на развертывание
</t>
        </r>
      </text>
    </comment>
    <comment ref="H5" authorId="8" xr:uid="{000200B3-0034-4B54-9A6E-00C6006900A8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Помогает сформулировать критерии приемки, чтобы требования были тестируемыми
</t>
        </r>
      </text>
    </comment>
    <comment ref="I5" authorId="9" xr:uid="{008F00DA-00EA-40D3-8F72-000D00C70001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Создает интерактивные прототипы и визуализации
</t>
        </r>
      </text>
    </comment>
    <comment ref="J5" authorId="10" xr:uid="{000D00EB-00E5-4E88-849F-008F00D80086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Информируется о завершении этапа сбора требований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tc={00CF0062-00D9-4327-86F3-00A5001B0078}</author>
  </authors>
  <commentList>
    <comment ref="A14" authorId="0" xr:uid="{00CF0062-00D9-4327-86F3-00A5001B0078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Метрики оценки эффекивности  из паспорта проекта
</t>
        </r>
      </text>
    </comment>
  </commentList>
</comments>
</file>

<file path=xl/sharedStrings.xml><?xml version="1.0" encoding="utf-8"?>
<sst xmlns="http://schemas.openxmlformats.org/spreadsheetml/2006/main" count="311" uniqueCount="311">
  <si>
    <t xml:space="preserve">Рабочее название проекта</t>
  </si>
  <si>
    <t xml:space="preserve">Дата создания и версия документа</t>
  </si>
  <si>
    <t xml:space="preserve">Ссылка на репозиторий</t>
  </si>
  <si>
    <t xml:space="preserve">не обязательное поле</t>
  </si>
  <si>
    <t xml:space="preserve">Проблема, которую решает проект</t>
  </si>
  <si>
    <t xml:space="preserve">Цель проекта</t>
  </si>
  <si>
    <t xml:space="preserve">Метрики оценки эффективности</t>
  </si>
  <si>
    <t xml:space="preserve">Экономическое обоснование проекта</t>
  </si>
  <si>
    <t xml:space="preserve">Функциональные задачи проекта</t>
  </si>
  <si>
    <t xml:space="preserve">входные данные</t>
  </si>
  <si>
    <t xml:space="preserve">Оценка полноты входных данных</t>
  </si>
  <si>
    <t xml:space="preserve">выходные данные</t>
  </si>
  <si>
    <t xml:space="preserve">Основные результаты проекта</t>
  </si>
  <si>
    <t xml:space="preserve">  Дата начала</t>
  </si>
  <si>
    <t xml:space="preserve">Дата завершения</t>
  </si>
  <si>
    <t xml:space="preserve">Ожидаемый эффект</t>
  </si>
  <si>
    <t xml:space="preserve">Бюджет (руб.)</t>
  </si>
  <si>
    <t xml:space="preserve">Основные риски проекта</t>
  </si>
  <si>
    <t xml:space="preserve">Источники финансирования</t>
  </si>
  <si>
    <t xml:space="preserve">Лидер проекта</t>
  </si>
  <si>
    <t xml:space="preserve">ER-диаграмма данных или логическая структура данных</t>
  </si>
  <si>
    <t xml:space="preserve">Перечень алгоритмов бэкенд</t>
  </si>
  <si>
    <t xml:space="preserve">Сдата начала - Дата окончания</t>
  </si>
  <si>
    <t>№</t>
  </si>
  <si>
    <t>Мероприятие</t>
  </si>
  <si>
    <t xml:space="preserve">№ этапа</t>
  </si>
  <si>
    <t xml:space="preserve">Наименование этапа</t>
  </si>
  <si>
    <t xml:space="preserve">дата начала - дата окончания</t>
  </si>
  <si>
    <t xml:space="preserve">Порядковый номер этапа (1, 2, 3...)</t>
  </si>
  <si>
    <t xml:space="preserve">Название, отражающее суть работ</t>
  </si>
  <si>
    <t xml:space="preserve">Период реализации этапа в формате ДД.ММ.ГГГГ — ДД.ММ.ГГГГ</t>
  </si>
  <si>
    <t>Должность</t>
  </si>
  <si>
    <t xml:space="preserve">Количество человек</t>
  </si>
  <si>
    <t xml:space="preserve">Заработная плата, тыс. руб/мес</t>
  </si>
  <si>
    <t xml:space="preserve">Время работы в проекте, мес</t>
  </si>
  <si>
    <t xml:space="preserve">Роль в проекте (кто выполняет работу)</t>
  </si>
  <si>
    <t xml:space="preserve">Сколько человек нужно на эту роль</t>
  </si>
  <si>
    <t xml:space="preserve">Заработная плата 1 человека за месяц</t>
  </si>
  <si>
    <t xml:space="preserve">Сколько месяцев этот сотрудник участвует в проекте</t>
  </si>
  <si>
    <t>Руководитель</t>
  </si>
  <si>
    <t xml:space="preserve">Роль в проекте</t>
  </si>
  <si>
    <t>Обязанности</t>
  </si>
  <si>
    <t>ФИО</t>
  </si>
  <si>
    <t xml:space="preserve">Компьютеры, оборудование, средства связи и прочее. 
Посчитать сумму затрат на покупку и аренду технических средств, средств и каналов связи и т.п.</t>
  </si>
  <si>
    <t xml:space="preserve">Наименование ограничения</t>
  </si>
  <si>
    <t>Количество</t>
  </si>
  <si>
    <t>Cтоимость</t>
  </si>
  <si>
    <t xml:space="preserve">Общая стоимость с применением коэффициентов</t>
  </si>
  <si>
    <t xml:space="preserve">Что именно нужно (оборудование, софт, сервис)</t>
  </si>
  <si>
    <t xml:space="preserve">Сколько единиц потребуется</t>
  </si>
  <si>
    <t xml:space="preserve">Цена за одну единицу в рублях</t>
  </si>
  <si>
    <t>Всего</t>
  </si>
  <si>
    <t xml:space="preserve">Приложение 2</t>
  </si>
  <si>
    <t xml:space="preserve">СМЕТА РАСХОДОВ</t>
  </si>
  <si>
    <t xml:space="preserve">
Разработка программного обеспечения _________________________________________________________</t>
  </si>
  <si>
    <t xml:space="preserve">(Наименование работы)</t>
  </si>
  <si>
    <t xml:space="preserve">№ п/п</t>
  </si>
  <si>
    <t xml:space="preserve">Наименование этапа работ</t>
  </si>
  <si>
    <t xml:space="preserve">Исполнитель, принимающий участие в выполнении работ</t>
  </si>
  <si>
    <t xml:space="preserve">Сроки участия в выполнении работ</t>
  </si>
  <si>
    <t xml:space="preserve">Трудозатраты Исполнителя, рабочих чел*часов участия в выполнении работ***</t>
  </si>
  <si>
    <t xml:space="preserve">Стоимость чел*часа работы Исполнителя руб./чел-час</t>
  </si>
  <si>
    <t xml:space="preserve">Стоимость работы Исполнителя, руб.</t>
  </si>
  <si>
    <t xml:space="preserve">Количество </t>
  </si>
  <si>
    <t>начало</t>
  </si>
  <si>
    <t>окончание</t>
  </si>
  <si>
    <t>8=7*6</t>
  </si>
  <si>
    <t xml:space="preserve">
Разработка программного обеспечения _______________________</t>
  </si>
  <si>
    <t xml:space="preserve">Руководитель проекта</t>
  </si>
  <si>
    <t xml:space="preserve">Руководитель разработки</t>
  </si>
  <si>
    <t xml:space="preserve">Технический лидер</t>
  </si>
  <si>
    <t xml:space="preserve">Инженер-разработчик (GUI)</t>
  </si>
  <si>
    <t xml:space="preserve">Инженер-разработчик (back-end)</t>
  </si>
  <si>
    <t xml:space="preserve">Системный аналитик</t>
  </si>
  <si>
    <t xml:space="preserve">Технический писатель</t>
  </si>
  <si>
    <t>DevOps-инженер</t>
  </si>
  <si>
    <t>QA-инженер</t>
  </si>
  <si>
    <t xml:space="preserve">UI/UX дизайнер</t>
  </si>
  <si>
    <t xml:space="preserve">Администратор проекта</t>
  </si>
  <si>
    <t xml:space="preserve">Специалист по ИБ</t>
  </si>
  <si>
    <t>ИТОГО:</t>
  </si>
  <si>
    <t xml:space="preserve">РАСЧЕТ СТОИМОСТИ РАБОТ</t>
  </si>
  <si>
    <t xml:space="preserve">Итого затраты на оплату труда непосредственных исполнителей, руб.</t>
  </si>
  <si>
    <t xml:space="preserve">Накладные расходы по ставке __ % от стоимости работ непосредственных исполнителей</t>
  </si>
  <si>
    <t xml:space="preserve">Материалы и комплектующие изделия****</t>
  </si>
  <si>
    <t>Спецоборудование****</t>
  </si>
  <si>
    <t xml:space="preserve">Итого себестоимость работы, выполяняемой своими силами, руб.</t>
  </si>
  <si>
    <t xml:space="preserve">Затраты на оплату работ, выполняемых соисполнителями</t>
  </si>
  <si>
    <t xml:space="preserve">Полная себестоимость работ, руб.</t>
  </si>
  <si>
    <t xml:space="preserve">Рентабельность по ставке 10 % от себестоимости работ, выполняемых своими силами</t>
  </si>
  <si>
    <t xml:space="preserve">ИТОГО стоимость работ без НДС, руб.</t>
  </si>
  <si>
    <t xml:space="preserve">НДС по ставке 22%</t>
  </si>
  <si>
    <t xml:space="preserve">ИТОГО стоимость работ в т. ч. НДС 22% , руб.</t>
  </si>
  <si>
    <t xml:space="preserve">Название риска</t>
  </si>
  <si>
    <t>Причины</t>
  </si>
  <si>
    <t xml:space="preserve">Категория риска</t>
  </si>
  <si>
    <t xml:space="preserve">Вероятность (P)</t>
  </si>
  <si>
    <t xml:space="preserve">Влияние (I)</t>
  </si>
  <si>
    <t xml:space="preserve">Оценка P*I</t>
  </si>
  <si>
    <t xml:space="preserve">Меры предотвращения</t>
  </si>
  <si>
    <t xml:space="preserve">Нечеткость требований заказчика из-за низкой предметной экспертизы заказчика</t>
  </si>
  <si>
    <t xml:space="preserve">1) Заказчик впервые внедряет AI/ML-решение.
2) Отсутствие выделенного представителя со стороны бизнеса для коммуникации.
3) Противоречивые пожелания от разных стейкхолдеров заказчика.</t>
  </si>
  <si>
    <t>Внешний</t>
  </si>
  <si>
    <t xml:space="preserve">1. Инициировать серию структурированных интервью с заказчиком и создание глоссария.
2. Разработать прототип решения (MVP) на ограниченных данных для визуализации результата.
3.Провести демонстрацию прототипа и собрать обратную связь для уточнения требований.
4. Зафиксировать уточненные требования в бэклоге продукта  и переоценить сроки.
</t>
  </si>
  <si>
    <t xml:space="preserve">Степень вероятности</t>
  </si>
  <si>
    <t>Вес</t>
  </si>
  <si>
    <t xml:space="preserve">Очень низкая</t>
  </si>
  <si>
    <t>Низкая</t>
  </si>
  <si>
    <t>Средняя</t>
  </si>
  <si>
    <t>Высокая</t>
  </si>
  <si>
    <t xml:space="preserve">Очень высокая</t>
  </si>
  <si>
    <t xml:space="preserve">Степень влияния</t>
  </si>
  <si>
    <t xml:space="preserve">Очень низкое</t>
  </si>
  <si>
    <t>Низкое</t>
  </si>
  <si>
    <t>Среднее</t>
  </si>
  <si>
    <t>Высокое</t>
  </si>
  <si>
    <t xml:space="preserve">Очень высокое</t>
  </si>
  <si>
    <t>Задача\ФИО,Роль</t>
  </si>
  <si>
    <t xml:space="preserve">ФИО, 
Менеджер проекта</t>
  </si>
  <si>
    <t xml:space="preserve">ФИО,
Инженер-разработчик (GUI)</t>
  </si>
  <si>
    <t xml:space="preserve">ФИО, 
Инженер-разработчик (back-end)</t>
  </si>
  <si>
    <t xml:space="preserve">ФИО, Системный аналитик</t>
  </si>
  <si>
    <t xml:space="preserve">ФИО, Технический писатель</t>
  </si>
  <si>
    <t xml:space="preserve">ФИО, 
DevOps-инженер</t>
  </si>
  <si>
    <t xml:space="preserve">ФИО,
QA-инженер</t>
  </si>
  <si>
    <t xml:space="preserve">ФИО,
UI/UX дизайнер</t>
  </si>
  <si>
    <t xml:space="preserve">ФИО,
Куратор проекта</t>
  </si>
  <si>
    <t xml:space="preserve">ФИО,
Спонсор проекта</t>
  </si>
  <si>
    <t xml:space="preserve">ФИО, 
Руководитель разработки со стороны заказчика</t>
  </si>
  <si>
    <r>
      <t/>
    </r>
    <r>
      <rPr>
        <b/>
        <sz val="12"/>
        <color indexed="64"/>
        <rFont val="Times New Roman"/>
      </rPr>
      <t xml:space="preserve">Функции RACI-матрицы:</t>
    </r>
    <r>
      <rPr>
        <sz val="12"/>
        <color indexed="64"/>
        <rFont val="Times New Roman"/>
      </rPr>
      <t xml:space="preserve">
R (Responsible) — исполнитель
A (Accountable) — ответственный за результат
C (Consulted) — предоставляет консультации (двусторонняя коммуникация).
I (Informed) — информируется о результатах (односторонняя коммуникация).</t>
    </r>
  </si>
  <si>
    <t xml:space="preserve">Задача 1</t>
  </si>
  <si>
    <t xml:space="preserve">Задача 2</t>
  </si>
  <si>
    <t xml:space="preserve">Задача 3</t>
  </si>
  <si>
    <t xml:space="preserve">Создание шаблона</t>
  </si>
  <si>
    <t>A</t>
  </si>
  <si>
    <t>I</t>
  </si>
  <si>
    <t>C</t>
  </si>
  <si>
    <t>R</t>
  </si>
  <si>
    <t xml:space="preserve">Задача 5</t>
  </si>
  <si>
    <t>Проект</t>
  </si>
  <si>
    <t xml:space="preserve">Онлайн-сервис ИИ-редактирования изображений с функцией переноса пользовательского стиля</t>
  </si>
  <si>
    <t xml:space="preserve">Цель документа</t>
  </si>
  <si>
    <t xml:space="preserve">Обеспечить высокое качество разрабатываемого онлайн-сервиса ИИ-редактирования изображений, соответствующее требованиям пользователей и целям проекта, через применение регламентированных процессов контроля, тестирования, валидации и проверки результатов обработки изображений.</t>
  </si>
  <si>
    <t xml:space="preserve">1. Общие положения: 
        Приоритет: </t>
  </si>
  <si>
    <t xml:space="preserve">Приоритет качества</t>
  </si>
  <si>
    <t xml:space="preserve">Стабильность работы сервиса, корректность обработки изображений, минимизация ошибок при загрузке и обработке пользовательских данных</t>
  </si>
  <si>
    <t xml:space="preserve">Стандарты качества</t>
  </si>
  <si>
    <t xml:space="preserve">Внутренние требования проекта к корректности обработки изображений, устойчивости ML-модуля, стабильности API и удобству пользовательского интерфейса</t>
  </si>
  <si>
    <t xml:space="preserve">Подход к обеспечению качества</t>
  </si>
  <si>
    <t xml:space="preserve">Итеративная проверка результатов разработки, функциональное тестирование, валидация данных, проверка ML-модели и контроль пользовательских сценариев</t>
  </si>
  <si>
    <t xml:space="preserve">Основные объекты контроля</t>
  </si>
  <si>
    <t xml:space="preserve">Frontend, backend, ML-модуль, API, пользовательские изображения, результаты стилизации, история обработок</t>
  </si>
  <si>
    <t xml:space="preserve">Ответственные за качество</t>
  </si>
  <si>
    <t xml:space="preserve">Руководитель проекта, ML-инженер, backend-разработчик, frontend-разработчик, тестировщик</t>
  </si>
  <si>
    <t xml:space="preserve">Решение о готовности релиза</t>
  </si>
  <si>
    <t xml:space="preserve">Принимается руководителем проекта после прохождения тестирования и устранения критических замечаний</t>
  </si>
  <si>
    <t xml:space="preserve">Бюджет качества</t>
  </si>
  <si>
    <t xml:space="preserve">Дополнительное время на тестирование, исправление ошибок, повторную проверку ML-модели и валидацию пользовательских сценариев</t>
  </si>
  <si>
    <r>
      <t xml:space="preserve">        Ключевая цель:</t>
    </r>
    <r>
      <rPr>
        <sz val="12"/>
        <color indexed="64"/>
        <rFont val="Times New Roman"/>
      </rPr>
      <t xml:space="preserve"> </t>
    </r>
  </si>
  <si>
    <t xml:space="preserve">Разработать к 30.06.2026 MVP онлайн-сервиса ИИ-редактирования изображений с функцией переноса пользовательского стиля, позволяющего сократить среднее время подготовки изображения не менее чем на 40%</t>
  </si>
  <si>
    <r>
      <t>2.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 xml:space="preserve">Показатели и метрики качества</t>
    </r>
  </si>
  <si>
    <t xml:space="preserve">Сокращение времени подготовки изображения</t>
  </si>
  <si>
    <t xml:space="preserve">Не менее 40%</t>
  </si>
  <si>
    <t xml:space="preserve">Сравнение времени ручной и AI-обработки</t>
  </si>
  <si>
    <t xml:space="preserve">Доля успешно обработанных изображений</t>
  </si>
  <si>
    <t xml:space="preserve">Не менее 90%</t>
  </si>
  <si>
    <t xml:space="preserve">Тестирование пользовательских сценариев</t>
  </si>
  <si>
    <t xml:space="preserve">Среднее время обработки изображения</t>
  </si>
  <si>
    <t xml:space="preserve">Не более 2 минут</t>
  </si>
  <si>
    <t xml:space="preserve">Измерение времени выполнения обработки</t>
  </si>
  <si>
    <t xml:space="preserve">Корректность загрузки изображений</t>
  </si>
  <si>
    <t xml:space="preserve">Не менее 95% успешных загрузок</t>
  </si>
  <si>
    <t xml:space="preserve">Проверка загрузки файлов разных форматов</t>
  </si>
  <si>
    <t xml:space="preserve">Корректность переноса пользовательского стиля</t>
  </si>
  <si>
    <t xml:space="preserve">Не менее 80% положительных оценок</t>
  </si>
  <si>
    <t xml:space="preserve">Экспертная и пользовательская оценка</t>
  </si>
  <si>
    <t xml:space="preserve">Устойчивость работы backend/API</t>
  </si>
  <si>
    <t xml:space="preserve">Не менее 95% успешных запросов</t>
  </si>
  <si>
    <t>API-тестирование</t>
  </si>
  <si>
    <t xml:space="preserve">Отсутствие критических ошибок интерфейса</t>
  </si>
  <si>
    <t xml:space="preserve">0 критических ошибок</t>
  </si>
  <si>
    <t>UI-тестирование</t>
  </si>
  <si>
    <t xml:space="preserve">Корректность хранения истории обработок</t>
  </si>
  <si>
    <t xml:space="preserve">Не менее 95% успешного сохранения</t>
  </si>
  <si>
    <t xml:space="preserve">Проверка записей истории</t>
  </si>
  <si>
    <t xml:space="preserve">3. Процессы обеспечения и контроля качества</t>
  </si>
  <si>
    <t xml:space="preserve">Дата начала</t>
  </si>
  <si>
    <t xml:space="preserve">Дата окончания</t>
  </si>
  <si>
    <t xml:space="preserve">Проверка пользовательских требований</t>
  </si>
  <si>
    <t xml:space="preserve">Code Review backend</t>
  </si>
  <si>
    <t xml:space="preserve">Code Review frontend</t>
  </si>
  <si>
    <t xml:space="preserve">Валидация входных изображений</t>
  </si>
  <si>
    <t xml:space="preserve">Проверка ML-модуля стилизации</t>
  </si>
  <si>
    <t xml:space="preserve">Проверка хранения истории обработок</t>
  </si>
  <si>
    <t xml:space="preserve">UI/UX-проверка интерфейса</t>
  </si>
  <si>
    <t xml:space="preserve">Регрессионное тестирование</t>
  </si>
  <si>
    <t xml:space="preserve">Финальная приемка MVP</t>
  </si>
  <si>
    <t xml:space="preserve">4. Инструменты контроля качества</t>
  </si>
  <si>
    <t xml:space="preserve">Наименование инструмента</t>
  </si>
  <si>
    <t xml:space="preserve">Протокол испытаний</t>
  </si>
  <si>
    <t xml:space="preserve">Чек-листы тестирования</t>
  </si>
  <si>
    <t xml:space="preserve">Матрица отслеживаемости требований</t>
  </si>
  <si>
    <t xml:space="preserve">Code Review</t>
  </si>
  <si>
    <t xml:space="preserve">Функциональное тестирование</t>
  </si>
  <si>
    <t xml:space="preserve">Логирование ошибок</t>
  </si>
  <si>
    <t xml:space="preserve">Проверка качества ML-модели</t>
  </si>
  <si>
    <t xml:space="preserve">Методы проверки функционала (ИТ-проекты)</t>
  </si>
  <si>
    <t>Требование</t>
  </si>
  <si>
    <t xml:space="preserve">Действия пользователя системы</t>
  </si>
  <si>
    <t xml:space="preserve">Действия системы</t>
  </si>
  <si>
    <t xml:space="preserve">Ожидаемый результат</t>
  </si>
  <si>
    <t xml:space="preserve">Регистрация пользователя</t>
  </si>
  <si>
    <t xml:space="preserve">Пользователь вводит логин, e-mail и пароль</t>
  </si>
  <si>
    <t xml:space="preserve">Система проверяет корректность данных и создает учетную запись</t>
  </si>
  <si>
    <t xml:space="preserve">Учетная запись успешно создана</t>
  </si>
  <si>
    <t xml:space="preserve">Авторизация пользователя</t>
  </si>
  <si>
    <t xml:space="preserve">Пользователь вводит e-mail и пароль</t>
  </si>
  <si>
    <t xml:space="preserve">Система выполняет проверку учетных данных</t>
  </si>
  <si>
    <t xml:space="preserve">Пользователь успешно входит в систему</t>
  </si>
  <si>
    <t xml:space="preserve">Загрузка изображения</t>
  </si>
  <si>
    <t xml:space="preserve">Пользователь выбирает изображение для обработки</t>
  </si>
  <si>
    <t xml:space="preserve">Система проверяет формат и размер файла</t>
  </si>
  <si>
    <t xml:space="preserve">Изображение успешно загружено</t>
  </si>
  <si>
    <t xml:space="preserve">Загрузка референсов</t>
  </si>
  <si>
    <t xml:space="preserve">Пользователь загружает набор референсных изображений</t>
  </si>
  <si>
    <t xml:space="preserve">Система сохраняет референсы и подготавливает их к обработке</t>
  </si>
  <si>
    <t xml:space="preserve">Референсы успешно загружены</t>
  </si>
  <si>
    <t xml:space="preserve">Применение стилизации</t>
  </si>
  <si>
    <t xml:space="preserve">Пользователь запускает обработку изображения</t>
  </si>
  <si>
    <t xml:space="preserve">ML-модуль выполняет перенос пользовательского стиля</t>
  </si>
  <si>
    <t xml:space="preserve">Пользователь получает обработанное изображение</t>
  </si>
  <si>
    <t xml:space="preserve">Предпросмотр результата</t>
  </si>
  <si>
    <t xml:space="preserve">Пользователь открывает результат обработки</t>
  </si>
  <si>
    <t xml:space="preserve">Система отображает обработанное изображение</t>
  </si>
  <si>
    <t xml:space="preserve">Результат отображается корректно</t>
  </si>
  <si>
    <t xml:space="preserve">Скачивание результата</t>
  </si>
  <si>
    <t xml:space="preserve">Пользователь нажимает кнопку скачивания</t>
  </si>
  <si>
    <t xml:space="preserve">Система формирует файл и начинает загрузку</t>
  </si>
  <si>
    <t xml:space="preserve">Файл успешно скачивается</t>
  </si>
  <si>
    <t xml:space="preserve">Сохранение истории обработок</t>
  </si>
  <si>
    <t xml:space="preserve">Пользователь завершает обработку изображения</t>
  </si>
  <si>
    <t xml:space="preserve">Система сохраняет запись в истории операций</t>
  </si>
  <si>
    <t xml:space="preserve">История обработок отображается корректно</t>
  </si>
  <si>
    <t xml:space="preserve">Обработка неподдерживаемого формата</t>
  </si>
  <si>
    <t xml:space="preserve">Пользователь загружает файл неподдерживаемого формата</t>
  </si>
  <si>
    <t xml:space="preserve">Система отклоняет загрузку и выводит сообщение об ошибке</t>
  </si>
  <si>
    <t xml:space="preserve">Пользователь получает уведомление об ошибке</t>
  </si>
  <si>
    <t xml:space="preserve">Проверка стабильности API</t>
  </si>
  <si>
    <t xml:space="preserve">Пользователь инициирует обработку изображения</t>
  </si>
  <si>
    <t xml:space="preserve">Backend/API обрабатывает запрос и возвращает ответ</t>
  </si>
  <si>
    <t xml:space="preserve">Запрос выполняется без критических ошибок</t>
  </si>
  <si>
    <t xml:space="preserve">Чек-лист проверки модели (для AI-проектов)</t>
  </si>
  <si>
    <t xml:space="preserve">Наименование модели</t>
  </si>
  <si>
    <t>Метрика/требование</t>
  </si>
  <si>
    <t xml:space="preserve">Модель переноса пользовательского стиля</t>
  </si>
  <si>
    <t xml:space="preserve">Корректность стилизации изображения</t>
  </si>
  <si>
    <t xml:space="preserve">Стиль успешно переносится на изображение</t>
  </si>
  <si>
    <t xml:space="preserve">Сохранение структуры исходного изображения</t>
  </si>
  <si>
    <t xml:space="preserve">Основные объекты изображения не искажаются</t>
  </si>
  <si>
    <t xml:space="preserve">Время обработки изображения</t>
  </si>
  <si>
    <t xml:space="preserve">Не более 2 минут на одно изображение</t>
  </si>
  <si>
    <t xml:space="preserve">Модель обработки изображений</t>
  </si>
  <si>
    <t xml:space="preserve">Устойчивость к различным форматам изображений</t>
  </si>
  <si>
    <t xml:space="preserve">Поддерживаются JPG, PNG и JPEG</t>
  </si>
  <si>
    <t xml:space="preserve">Стабильность работы при повторных запросах</t>
  </si>
  <si>
    <t xml:space="preserve">Отсутствие критических ошибок обработки</t>
  </si>
  <si>
    <t xml:space="preserve">Модель удаления фона</t>
  </si>
  <si>
    <t xml:space="preserve">Корректность выделения объекта</t>
  </si>
  <si>
    <t xml:space="preserve">Основной объект корректно отделяется от фона</t>
  </si>
  <si>
    <t xml:space="preserve">Модель улучшения качества изображения</t>
  </si>
  <si>
    <t xml:space="preserve">Повышение визуального качества</t>
  </si>
  <si>
    <t xml:space="preserve">Изображение становится более четким</t>
  </si>
  <si>
    <t xml:space="preserve">ML-модуль сервиса</t>
  </si>
  <si>
    <t xml:space="preserve">Работа с пользовательскими референсами</t>
  </si>
  <si>
    <t xml:space="preserve">Референсы корректно участвуют в стилизации</t>
  </si>
  <si>
    <t xml:space="preserve">Обработка изображений большого размера</t>
  </si>
  <si>
    <t xml:space="preserve">Обработка выполняется без аварийного завершения</t>
  </si>
  <si>
    <t xml:space="preserve">Повторяемость результата</t>
  </si>
  <si>
    <t xml:space="preserve">При одинаковых входных данных результат остается стабильным</t>
  </si>
  <si>
    <t xml:space="preserve">Результат проверки</t>
  </si>
  <si>
    <t>Замечания/Комментарии</t>
  </si>
  <si>
    <t xml:space="preserve">Выполнено успешно</t>
  </si>
  <si>
    <t xml:space="preserve">Замечаний нет</t>
  </si>
  <si>
    <t xml:space="preserve">Поддерживаются основные форматы</t>
  </si>
  <si>
    <t xml:space="preserve">В отдельных случаях наблюдается увеличение времени обработки</t>
  </si>
  <si>
    <t xml:space="preserve">Проверка обработки неподдерживаемых форматов</t>
  </si>
  <si>
    <t xml:space="preserve">Система корректно выводит сообщение об ошибке</t>
  </si>
  <si>
    <t xml:space="preserve">Критических ошибок не выявлено</t>
  </si>
  <si>
    <t>Задачи</t>
  </si>
  <si>
    <t xml:space="preserve">Метод верификации</t>
  </si>
  <si>
    <t xml:space="preserve">Статус верификации</t>
  </si>
  <si>
    <t xml:space="preserve">Реализовать форму регистрации</t>
  </si>
  <si>
    <t>Подтверждено</t>
  </si>
  <si>
    <t xml:space="preserve">Реализовать форму авторизации</t>
  </si>
  <si>
    <t xml:space="preserve">Загрузка изображений</t>
  </si>
  <si>
    <t xml:space="preserve">Реализовать загрузку исходного изображения</t>
  </si>
  <si>
    <t xml:space="preserve">Тестирование загрузки файлов</t>
  </si>
  <si>
    <t xml:space="preserve">Валидация форматов изображений</t>
  </si>
  <si>
    <t xml:space="preserve">Реализовать проверку форматов файлов</t>
  </si>
  <si>
    <t xml:space="preserve">Проверка входных данных</t>
  </si>
  <si>
    <t xml:space="preserve">Загрузка пользовательских референсов</t>
  </si>
  <si>
    <t xml:space="preserve">Реализовать загрузку референсов</t>
  </si>
  <si>
    <t xml:space="preserve">Перенос пользовательского стиля</t>
  </si>
  <si>
    <t xml:space="preserve">Настроить модуль стилизации</t>
  </si>
  <si>
    <t xml:space="preserve">Проверка ML-модели</t>
  </si>
  <si>
    <t xml:space="preserve">Реализовать предпросмотр результата</t>
  </si>
  <si>
    <t xml:space="preserve">Реализовать скачивание итогового файла</t>
  </si>
  <si>
    <t xml:space="preserve">История обработок</t>
  </si>
  <si>
    <t xml:space="preserve">Реализовать хранение истории обработок</t>
  </si>
  <si>
    <t xml:space="preserve">Проверка базы данных</t>
  </si>
  <si>
    <t xml:space="preserve">Провести комплексное тестирование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</si>
</sst>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-* #,##0.00&quot;р.&quot;_-;\-* #,##0.00&quot;р.&quot;_-;_-* &quot;-&quot;??&quot;р.&quot;_-;_-@_-"/>
    <numFmt numFmtId="165" formatCode="_-* #,##0&quot;р.&quot;_-;\-* #,##0&quot;р.&quot;_-;_-* &quot;-&quot;&quot;р.&quot;_-;_-@_-"/>
    <numFmt numFmtId="166" formatCode="_-* #,##0.00_р_._-;\-* #,##0.00_р_._-;_-* &quot;-&quot;??_р_._-;_-@_-"/>
    <numFmt numFmtId="167" formatCode="_-* #,##0_р_._-;\-* #,##0_р_._-;_-* &quot;-&quot;_р_._-;_-@_-"/>
    <numFmt numFmtId="168" formatCode="dd\.mm\.yyyy"/>
    <numFmt numFmtId="169" formatCode="d\.m\.yyyy"/>
    <numFmt numFmtId="170" formatCode="#,##0.00\ _₽"/>
    <numFmt numFmtId="171" formatCode="dd/mm/yyyy"/>
  </numFmts>
  <fonts count="40">
    <font>
      <sz val="12.000000"/>
      <color theme="1" tint="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2.000000"/>
      <color theme="10" tint="0"/>
      <name val="Arial"/>
    </font>
    <font>
      <sz val="12.000000"/>
      <color indexed="64"/>
      <name val="Arial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u/>
      <sz val="12.000000"/>
      <color theme="11" tint="0"/>
      <name val="Arial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 tint="0"/>
      <name val="Arial"/>
    </font>
    <font>
      <sz val="12.000000"/>
      <color theme="1" tint="0"/>
      <name val="Calibri"/>
    </font>
    <font>
      <sz val="11.000000"/>
      <name val="Calibri"/>
    </font>
    <font>
      <sz val="10.000000"/>
      <color theme="1" tint="0"/>
      <name val="Arial"/>
    </font>
    <font>
      <b/>
      <sz val="12.000000"/>
      <color theme="1" tint="0"/>
      <name val="Times New Roman"/>
    </font>
    <font>
      <sz val="12.000000"/>
      <color theme="1" tint="0"/>
      <name val="Times New Roman"/>
    </font>
    <font>
      <sz val="9.000000"/>
      <color rgb="FF0F1115"/>
      <name val="Times New Roman"/>
    </font>
    <font>
      <b/>
      <sz val="12.000000"/>
      <color theme="1" tint="0"/>
      <name val="Arial"/>
    </font>
    <font>
      <sz val="12.000000"/>
      <color indexed="64"/>
      <name val="Times New Roman"/>
    </font>
    <font>
      <b/>
      <sz val="12.000000"/>
      <color indexed="64"/>
      <name val="Times New Roman"/>
    </font>
    <font>
      <i/>
      <sz val="12.000000"/>
      <color indexed="64"/>
      <name val="Times New Roman"/>
    </font>
    <font>
      <i/>
      <sz val="12.000000"/>
      <color theme="1" tint="0"/>
      <name val="Times New Roman"/>
    </font>
    <font>
      <sz val="11.000000"/>
      <color theme="1" tint="0"/>
      <name val="Times New Roman"/>
    </font>
    <font>
      <sz val="12.000000"/>
      <name val="Times New Roman"/>
    </font>
    <font>
      <b/>
      <sz val="10.000000"/>
      <color theme="1" tint="0"/>
      <name val="Times New Roman"/>
    </font>
    <font>
      <sz val="10.000000"/>
      <color theme="1" tint="0"/>
      <name val="Times New Roman"/>
    </font>
    <font>
      <b/>
      <sz val="12.000000"/>
      <color rgb="FF0F1115"/>
      <name val="Times New Roman"/>
    </font>
    <font>
      <sz val="12.000000"/>
      <color rgb="FF0F1115"/>
      <name val="Times New Roman"/>
    </font>
    <font>
      <b/>
      <sz val="10.000000"/>
      <color indexed="64"/>
      <name val="Times New Roman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indexed="46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indexed="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indexed="20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indexed="52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6" tint="0.79998199999999997"/>
      </patternFill>
    </fill>
    <fill>
      <patternFill patternType="solid">
        <fgColor theme="0" tint="0"/>
      </patternFill>
    </fill>
    <fill>
      <patternFill patternType="solid">
        <fgColor indexed="65"/>
      </patternFill>
    </fill>
    <fill>
      <patternFill patternType="solid">
        <fgColor indexed="65"/>
        <bgColor indexed="65"/>
      </patternFill>
    </fill>
    <fill>
      <patternFill patternType="solid">
        <fgColor rgb="FFD0CECE"/>
      </patternFill>
    </fill>
    <fill>
      <patternFill patternType="solid">
        <fgColor theme="0" tint="-0.14999799999999999"/>
      </patternFill>
    </fill>
  </fills>
  <borders count="4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0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3" fillId="25" borderId="1" numFmtId="0" applyNumberFormat="1" applyFont="1" applyFill="1" applyBorder="1"/>
    <xf fontId="4" fillId="26" borderId="2" numFmtId="0" applyNumberFormat="1" applyFont="1" applyFill="1" applyBorder="1"/>
    <xf fontId="5" fillId="26" borderId="1" numFmtId="0" applyNumberFormat="1" applyFont="1" applyFill="1" applyBorder="1"/>
    <xf fontId="6" fillId="0" borderId="0" numFmtId="0" applyNumberFormat="1" applyFont="1" applyFill="1" applyBorder="1"/>
    <xf fontId="7" fillId="0" borderId="0" numFmtId="164" applyNumberFormat="1" applyFont="1" applyFill="1" applyBorder="1"/>
    <xf fontId="7" fillId="0" borderId="0" numFmtId="165" applyNumberFormat="1" applyFont="1" applyFill="1" applyBorder="1"/>
    <xf fontId="8" fillId="0" borderId="3" numFmtId="0" applyNumberFormat="1" applyFont="1" applyFill="1" applyBorder="1"/>
    <xf fontId="9" fillId="0" borderId="4" numFmtId="0" applyNumberFormat="1" applyFont="1" applyFill="1" applyBorder="1"/>
    <xf fontId="10" fillId="0" borderId="5" numFmtId="0" applyNumberFormat="1" applyFont="1" applyFill="1" applyBorder="1"/>
    <xf fontId="10" fillId="0" borderId="0" numFmtId="0" applyNumberFormat="1" applyFont="1" applyFill="1" applyBorder="1"/>
    <xf fontId="11" fillId="0" borderId="6" numFmtId="0" applyNumberFormat="1" applyFont="1" applyFill="1" applyBorder="1"/>
    <xf fontId="12" fillId="27" borderId="7" numFmtId="0" applyNumberFormat="1" applyFont="1" applyFill="1" applyBorder="1"/>
    <xf fontId="13" fillId="0" borderId="0" numFmtId="0" applyNumberFormat="1" applyFont="1" applyFill="1" applyBorder="1"/>
    <xf fontId="14" fillId="28" borderId="0" numFmtId="0" applyNumberFormat="1" applyFont="1" applyFill="1" applyBorder="1"/>
    <xf fontId="15" fillId="0" borderId="0" numFmtId="0" applyNumberFormat="1" applyFont="1" applyFill="1" applyBorder="1"/>
    <xf fontId="16" fillId="29" borderId="0" numFmtId="0" applyNumberFormat="1" applyFont="1" applyFill="1" applyBorder="1"/>
    <xf fontId="17" fillId="0" borderId="0" numFmtId="0" applyNumberFormat="1" applyFont="1" applyFill="1" applyBorder="1"/>
    <xf fontId="7" fillId="30" borderId="8" numFmtId="0" applyNumberFormat="1" applyFont="1" applyFill="1" applyBorder="1"/>
    <xf fontId="7" fillId="0" borderId="0" numFmtId="9" applyNumberFormat="1" applyFont="1" applyFill="1" applyBorder="1"/>
    <xf fontId="18" fillId="0" borderId="9" numFmtId="0" applyNumberFormat="1" applyFont="1" applyFill="1" applyBorder="1"/>
    <xf fontId="19" fillId="0" borderId="0" numFmtId="0" applyNumberFormat="1" applyFont="1" applyFill="1" applyBorder="1"/>
    <xf fontId="7" fillId="0" borderId="0" numFmtId="166" applyNumberFormat="1" applyFont="1" applyFill="1" applyBorder="1"/>
    <xf fontId="7" fillId="0" borderId="0" numFmtId="167" applyNumberFormat="1" applyFont="1" applyFill="1" applyBorder="1"/>
    <xf fontId="20" fillId="31" borderId="0" numFmtId="0" applyNumberFormat="1" applyFont="1" applyFill="1" applyBorder="1"/>
  </cellStyleXfs>
  <cellXfs count="117">
    <xf fontId="0" fillId="0" borderId="0" numFmtId="0" xfId="0"/>
    <xf fontId="21" fillId="0" borderId="10" numFmtId="0" xfId="0" applyFont="1" applyBorder="1" applyAlignment="1">
      <alignment horizontal="center" vertical="center"/>
    </xf>
    <xf fontId="22" fillId="0" borderId="10" numFmtId="0" xfId="0" applyFont="1" applyBorder="1" applyAlignment="1">
      <alignment horizontal="left" vertical="center" wrapText="1"/>
    </xf>
    <xf fontId="0" fillId="0" borderId="0" numFmtId="0" xfId="0"/>
    <xf fontId="21" fillId="32" borderId="11" numFmtId="0" xfId="0" applyFont="1" applyFill="1" applyBorder="1" applyAlignment="1">
      <alignment horizontal="center" vertical="center"/>
    </xf>
    <xf fontId="21" fillId="0" borderId="11" numFmtId="0" xfId="0" applyFont="1" applyBorder="1" applyAlignment="1">
      <alignment horizontal="center" vertical="center"/>
    </xf>
    <xf fontId="0" fillId="32" borderId="10" numFmtId="0" xfId="0" applyFill="1" applyBorder="1" applyAlignment="1">
      <alignment wrapText="1"/>
    </xf>
    <xf fontId="0" fillId="0" borderId="0" numFmtId="0" xfId="0" applyAlignment="1">
      <alignment wrapText="1"/>
    </xf>
    <xf fontId="23" fillId="0" borderId="12" numFmtId="0" xfId="0" applyFont="1" applyBorder="1"/>
    <xf fontId="0" fillId="0" borderId="10" numFmtId="0" xfId="0" applyBorder="1" applyAlignment="1">
      <alignment wrapText="1"/>
    </xf>
    <xf fontId="23" fillId="0" borderId="13" numFmtId="0" xfId="0" applyFont="1" applyBorder="1"/>
    <xf fontId="22" fillId="0" borderId="10" numFmtId="168" xfId="0" applyNumberFormat="1" applyFont="1" applyBorder="1" applyAlignment="1">
      <alignment horizontal="left" vertical="center" wrapText="1"/>
    </xf>
    <xf fontId="22" fillId="0" borderId="10" numFmtId="169" xfId="0" applyNumberFormat="1" applyFont="1" applyBorder="1" applyAlignment="1">
      <alignment horizontal="left"/>
    </xf>
    <xf fontId="22" fillId="0" borderId="10" numFmtId="4" xfId="0" applyNumberFormat="1" applyFont="1" applyBorder="1" applyAlignment="1">
      <alignment horizontal="left" vertical="center" wrapText="1"/>
    </xf>
    <xf fontId="24" fillId="0" borderId="0" numFmtId="0" xfId="0" applyFont="1" applyAlignment="1">
      <alignment vertical="center"/>
    </xf>
    <xf fontId="0" fillId="0" borderId="10" numFmtId="0" xfId="0" applyBorder="1"/>
    <xf fontId="25" fillId="0" borderId="10" numFmtId="0" xfId="0" applyFont="1" applyBorder="1" applyAlignment="1">
      <alignment horizontal="center" wrapText="1"/>
    </xf>
    <xf fontId="26" fillId="0" borderId="10" numFmtId="0" xfId="0" applyFont="1" applyBorder="1" applyAlignment="1">
      <alignment wrapText="1"/>
    </xf>
    <xf fontId="27" fillId="0" borderId="10" numFmtId="0" xfId="0" applyFont="1" applyBorder="1" applyAlignment="1">
      <alignment wrapText="1"/>
    </xf>
    <xf fontId="25" fillId="0" borderId="10" numFmtId="0" xfId="0" applyFont="1" applyBorder="1" applyAlignment="1">
      <alignment wrapText="1"/>
    </xf>
    <xf fontId="26" fillId="0" borderId="0" numFmtId="0" xfId="0" applyFont="1" applyAlignment="1">
      <alignment wrapText="1"/>
    </xf>
    <xf fontId="26" fillId="0" borderId="14" numFmtId="0" xfId="0" applyFont="1" applyBorder="1" applyAlignment="1">
      <alignment wrapText="1"/>
    </xf>
    <xf fontId="25" fillId="0" borderId="12" numFmtId="0" xfId="0" applyFont="1" applyBorder="1" applyAlignment="1">
      <alignment wrapText="1"/>
    </xf>
    <xf fontId="25" fillId="0" borderId="15" numFmtId="0" xfId="0" applyFont="1" applyBorder="1" applyAlignment="1">
      <alignment wrapText="1"/>
    </xf>
    <xf fontId="28" fillId="0" borderId="16" numFmtId="0" xfId="0" applyFont="1" applyBorder="1" applyAlignment="1">
      <alignment wrapText="1"/>
    </xf>
    <xf fontId="28" fillId="0" borderId="17" numFmtId="0" xfId="0" applyFont="1" applyBorder="1" applyAlignment="1">
      <alignment wrapText="1"/>
    </xf>
    <xf fontId="26" fillId="0" borderId="0" numFmtId="0" xfId="0" applyFont="1"/>
    <xf fontId="29" fillId="0" borderId="0" numFmtId="0" xfId="0" applyFont="1" applyAlignment="1">
      <alignment horizontal="right"/>
    </xf>
    <xf fontId="30" fillId="0" borderId="0" numFmtId="0" xfId="0" applyFont="1" applyAlignment="1">
      <alignment horizontal="center"/>
    </xf>
    <xf fontId="30" fillId="0" borderId="0" numFmtId="0" xfId="0" applyFont="1"/>
    <xf fontId="30" fillId="0" borderId="14" numFmtId="0" xfId="0" applyFont="1" applyBorder="1" applyAlignment="1">
      <alignment horizontal="center" wrapText="1"/>
    </xf>
    <xf fontId="31" fillId="0" borderId="18" numFmtId="0" xfId="0" applyFont="1" applyBorder="1" applyAlignment="1">
      <alignment horizontal="center"/>
    </xf>
    <xf fontId="30" fillId="0" borderId="18" numFmtId="0" xfId="0" applyFont="1" applyBorder="1" applyAlignment="1">
      <alignment horizontal="center"/>
    </xf>
    <xf fontId="26" fillId="0" borderId="0" numFmtId="0" xfId="0" applyFont="1" applyAlignment="1">
      <alignment horizontal="center" vertical="center"/>
    </xf>
    <xf fontId="30" fillId="0" borderId="19" numFmtId="0" xfId="0" applyFont="1" applyBorder="1" applyAlignment="1">
      <alignment horizontal="center" vertical="center" wrapText="1"/>
    </xf>
    <xf fontId="26" fillId="0" borderId="19" numFmtId="0" xfId="0" applyFont="1" applyBorder="1" applyAlignment="1">
      <alignment horizontal="center" vertical="center"/>
    </xf>
    <xf fontId="32" fillId="0" borderId="20" numFmtId="0" xfId="0" applyFont="1" applyBorder="1" applyAlignment="1">
      <alignment horizontal="center" vertical="center" wrapText="1"/>
    </xf>
    <xf fontId="30" fillId="0" borderId="21" numFmtId="0" xfId="0" applyFont="1" applyBorder="1" applyAlignment="1">
      <alignment horizontal="center" wrapText="1"/>
    </xf>
    <xf fontId="30" fillId="0" borderId="13" numFmtId="0" xfId="0" applyFont="1" applyBorder="1" applyAlignment="1">
      <alignment horizontal="center" wrapText="1"/>
    </xf>
    <xf fontId="30" fillId="0" borderId="22" numFmtId="0" xfId="0" applyFont="1" applyBorder="1" applyAlignment="1">
      <alignment horizontal="center" wrapText="1"/>
    </xf>
    <xf fontId="32" fillId="0" borderId="0" numFmtId="0" xfId="0" applyFont="1"/>
    <xf fontId="29" fillId="0" borderId="23" numFmtId="0" xfId="0" applyFont="1" applyBorder="1" applyAlignment="1">
      <alignment horizontal="center" vertical="center" wrapText="1"/>
    </xf>
    <xf fontId="29" fillId="0" borderId="24" numFmtId="0" xfId="0" applyFont="1" applyBorder="1" applyAlignment="1">
      <alignment horizontal="center" vertical="center" wrapText="1"/>
    </xf>
    <xf fontId="29" fillId="0" borderId="10" numFmtId="0" xfId="0" applyFont="1" applyBorder="1" applyAlignment="1">
      <alignment horizontal="center" vertical="center" wrapText="1"/>
    </xf>
    <xf fontId="29" fillId="0" borderId="25" numFmtId="14" xfId="0" applyNumberFormat="1" applyFont="1" applyBorder="1" applyAlignment="1">
      <alignment horizontal="center" vertical="center" wrapText="1"/>
    </xf>
    <xf fontId="33" fillId="33" borderId="10" numFmtId="14" xfId="0" applyNumberFormat="1" applyFont="1" applyFill="1" applyBorder="1" applyAlignment="1">
      <alignment horizontal="center" vertical="center" wrapText="1"/>
    </xf>
    <xf fontId="29" fillId="0" borderId="26" numFmtId="4" xfId="0" applyNumberFormat="1" applyFont="1" applyBorder="1" applyAlignment="1">
      <alignment horizontal="center" vertical="top" wrapText="1"/>
    </xf>
    <xf fontId="29" fillId="0" borderId="20" numFmtId="0" xfId="0" applyFont="1" applyBorder="1" applyAlignment="1">
      <alignment horizontal="center" vertical="center" wrapText="1"/>
    </xf>
    <xf fontId="29" fillId="0" borderId="27" numFmtId="0" xfId="0" applyFont="1" applyBorder="1" applyAlignment="1">
      <alignment horizontal="center" vertical="center" wrapText="1"/>
    </xf>
    <xf fontId="32" fillId="0" borderId="0" numFmtId="3" xfId="0" applyNumberFormat="1" applyFont="1"/>
    <xf fontId="29" fillId="0" borderId="10" numFmtId="3" xfId="0" applyNumberFormat="1" applyFont="1" applyBorder="1" applyAlignment="1">
      <alignment horizontal="center" vertical="center" wrapText="1"/>
    </xf>
    <xf fontId="29" fillId="0" borderId="0" numFmtId="4" xfId="0" applyNumberFormat="1" applyFont="1" applyAlignment="1">
      <alignment horizontal="center" vertical="top" wrapText="1"/>
    </xf>
    <xf fontId="29" fillId="0" borderId="28" numFmtId="0" xfId="0" applyFont="1" applyBorder="1" applyAlignment="1">
      <alignment horizontal="center" vertical="center" wrapText="1"/>
    </xf>
    <xf fontId="29" fillId="0" borderId="29" numFmtId="0" xfId="0" applyFont="1" applyBorder="1" applyAlignment="1">
      <alignment horizontal="center" vertical="center" wrapText="1"/>
    </xf>
    <xf fontId="29" fillId="0" borderId="20" numFmtId="0" xfId="0" applyFont="1" applyBorder="1" applyAlignment="1">
      <alignment horizontal="justify" vertical="top" wrapText="1"/>
    </xf>
    <xf fontId="29" fillId="0" borderId="0" numFmtId="0" xfId="0" applyFont="1" applyAlignment="1">
      <alignment horizontal="justify" vertical="top" wrapText="1"/>
    </xf>
    <xf fontId="26" fillId="0" borderId="0" numFmtId="0" xfId="0" applyFont="1" applyAlignment="1">
      <alignment horizontal="center"/>
    </xf>
    <xf fontId="29" fillId="0" borderId="0" numFmtId="0" xfId="0" applyFont="1" applyAlignment="1">
      <alignment horizontal="center" vertical="top" wrapText="1"/>
    </xf>
    <xf fontId="29" fillId="0" borderId="0" numFmtId="14" xfId="0" applyNumberFormat="1" applyFont="1" applyAlignment="1">
      <alignment horizontal="center" vertical="center" wrapText="1"/>
    </xf>
    <xf fontId="33" fillId="33" borderId="0" numFmtId="14" xfId="0" applyNumberFormat="1" applyFont="1" applyFill="1" applyAlignment="1">
      <alignment horizontal="center" vertical="center" wrapText="1"/>
    </xf>
    <xf fontId="29" fillId="0" borderId="0" numFmtId="0" xfId="0" applyFont="1" applyAlignment="1">
      <alignment vertical="top" wrapText="1"/>
    </xf>
    <xf fontId="29" fillId="0" borderId="30" numFmtId="4" xfId="0" applyNumberFormat="1" applyFont="1" applyBorder="1" applyAlignment="1">
      <alignment horizontal="center" vertical="top" wrapText="1"/>
    </xf>
    <xf fontId="30" fillId="0" borderId="19" numFmtId="0" xfId="0" applyFont="1" applyBorder="1" applyAlignment="1">
      <alignment horizontal="right" vertical="top" wrapText="1"/>
    </xf>
    <xf fontId="26" fillId="0" borderId="19" numFmtId="0" xfId="0" applyFont="1" applyBorder="1"/>
    <xf fontId="30" fillId="0" borderId="19" numFmtId="4" xfId="0" applyNumberFormat="1" applyFont="1" applyBorder="1" applyAlignment="1">
      <alignment horizontal="right" vertical="top" wrapText="1"/>
    </xf>
    <xf fontId="29" fillId="34" borderId="21" numFmtId="0" xfId="0" applyFont="1" applyFill="1" applyBorder="1" applyAlignment="1">
      <alignment wrapText="1"/>
    </xf>
    <xf fontId="29" fillId="34" borderId="13" numFmtId="0" xfId="0" applyFont="1" applyFill="1" applyBorder="1" applyAlignment="1">
      <alignment wrapText="1"/>
    </xf>
    <xf fontId="29" fillId="34" borderId="22" numFmtId="4" xfId="0" applyNumberFormat="1" applyFont="1" applyFill="1" applyBorder="1" applyAlignment="1">
      <alignment wrapText="1"/>
    </xf>
    <xf fontId="29" fillId="34" borderId="31" numFmtId="0" xfId="0" applyFont="1" applyFill="1" applyBorder="1" applyAlignment="1">
      <alignment wrapText="1"/>
    </xf>
    <xf fontId="29" fillId="34" borderId="10" numFmtId="0" xfId="0" applyFont="1" applyFill="1" applyBorder="1" applyAlignment="1">
      <alignment wrapText="1"/>
    </xf>
    <xf fontId="30" fillId="34" borderId="26" numFmtId="4" xfId="0" applyNumberFormat="1" applyFont="1" applyFill="1" applyBorder="1" applyAlignment="1">
      <alignment vertical="top" wrapText="1"/>
    </xf>
    <xf fontId="30" fillId="34" borderId="0" numFmtId="4" xfId="0" applyNumberFormat="1" applyFont="1" applyFill="1" applyAlignment="1">
      <alignment vertical="top" wrapText="1"/>
    </xf>
    <xf fontId="34" fillId="35" borderId="26" numFmtId="170" xfId="0" applyNumberFormat="1" applyFont="1" applyFill="1" applyBorder="1" applyAlignment="1">
      <alignment vertical="top" wrapText="1"/>
    </xf>
    <xf fontId="32" fillId="0" borderId="0" numFmtId="4" xfId="0" applyNumberFormat="1" applyFont="1"/>
    <xf fontId="29" fillId="34" borderId="0" numFmtId="4" xfId="0" applyNumberFormat="1" applyFont="1" applyFill="1" applyAlignment="1">
      <alignment vertical="top" wrapText="1"/>
    </xf>
    <xf fontId="29" fillId="34" borderId="31" numFmtId="0" xfId="0" applyFont="1" applyFill="1" applyBorder="1" applyAlignment="1">
      <alignment horizontal="left" wrapText="1"/>
    </xf>
    <xf fontId="29" fillId="34" borderId="10" numFmtId="0" xfId="0" applyFont="1" applyFill="1" applyBorder="1" applyAlignment="1">
      <alignment horizontal="left" wrapText="1"/>
    </xf>
    <xf fontId="29" fillId="34" borderId="26" numFmtId="4" xfId="0" applyNumberFormat="1" applyFont="1" applyFill="1" applyBorder="1" applyAlignment="1">
      <alignment vertical="top" wrapText="1"/>
    </xf>
    <xf fontId="30" fillId="34" borderId="31" numFmtId="0" xfId="0" applyFont="1" applyFill="1" applyBorder="1" applyAlignment="1">
      <alignment wrapText="1"/>
    </xf>
    <xf fontId="30" fillId="34" borderId="10" numFmtId="0" xfId="0" applyFont="1" applyFill="1" applyBorder="1" applyAlignment="1">
      <alignment wrapText="1"/>
    </xf>
    <xf fontId="30" fillId="34" borderId="31" numFmtId="0" xfId="0" applyFont="1" applyFill="1" applyBorder="1" applyAlignment="1">
      <alignment horizontal="left" wrapText="1"/>
    </xf>
    <xf fontId="30" fillId="34" borderId="10" numFmtId="0" xfId="0" applyFont="1" applyFill="1" applyBorder="1" applyAlignment="1">
      <alignment horizontal="left" wrapText="1"/>
    </xf>
    <xf fontId="26" fillId="0" borderId="0" numFmtId="4" xfId="0" applyNumberFormat="1" applyFont="1"/>
    <xf fontId="30" fillId="34" borderId="32" numFmtId="0" xfId="0" applyFont="1" applyFill="1" applyBorder="1" applyAlignment="1">
      <alignment wrapText="1"/>
    </xf>
    <xf fontId="30" fillId="34" borderId="33" numFmtId="0" xfId="0" applyFont="1" applyFill="1" applyBorder="1" applyAlignment="1">
      <alignment wrapText="1"/>
    </xf>
    <xf fontId="30" fillId="34" borderId="34" numFmtId="4" xfId="0" applyNumberFormat="1" applyFont="1" applyFill="1" applyBorder="1" applyAlignment="1">
      <alignment vertical="top" wrapText="1"/>
    </xf>
    <xf fontId="34" fillId="35" borderId="10" numFmtId="0" xfId="0" applyFont="1" applyFill="1" applyBorder="1" applyAlignment="1">
      <alignment wrapText="1"/>
    </xf>
    <xf fontId="34" fillId="35" borderId="15" numFmtId="0" xfId="0" applyFont="1" applyFill="1" applyBorder="1" applyAlignment="1">
      <alignment wrapText="1"/>
    </xf>
    <xf fontId="30" fillId="34" borderId="35" numFmtId="0" xfId="0" applyFont="1" applyFill="1" applyBorder="1" applyAlignment="1">
      <alignment wrapText="1"/>
    </xf>
    <xf fontId="30" fillId="34" borderId="36" numFmtId="0" xfId="0" applyFont="1" applyFill="1" applyBorder="1" applyAlignment="1">
      <alignment wrapText="1"/>
    </xf>
    <xf fontId="30" fillId="34" borderId="37" numFmtId="0" xfId="0" applyFont="1" applyFill="1" applyBorder="1" applyAlignment="1">
      <alignment wrapText="1"/>
    </xf>
    <xf fontId="25" fillId="0" borderId="34" numFmtId="4" xfId="0" applyNumberFormat="1" applyFont="1" applyBorder="1" applyAlignment="1">
      <alignment vertical="top" wrapText="1"/>
    </xf>
    <xf fontId="35" fillId="0" borderId="19" numFmtId="0" xfId="0" applyFont="1" applyBorder="1" applyAlignment="1">
      <alignment horizontal="center" vertical="center" wrapText="1"/>
    </xf>
    <xf fontId="35" fillId="0" borderId="38" numFmtId="0" xfId="0" applyFont="1" applyBorder="1" applyAlignment="1">
      <alignment horizontal="center" vertical="center" wrapText="1"/>
    </xf>
    <xf fontId="36" fillId="0" borderId="39" numFmtId="0" xfId="0" applyFont="1" applyBorder="1" applyAlignment="1">
      <alignment horizontal="justify" vertical="center" wrapText="1"/>
    </xf>
    <xf fontId="36" fillId="0" borderId="40" numFmtId="0" xfId="0" applyFont="1" applyBorder="1" applyAlignment="1">
      <alignment horizontal="justify" vertical="center" wrapText="1"/>
    </xf>
    <xf fontId="26" fillId="0" borderId="0" numFmtId="0" xfId="0" applyFont="1" applyAlignment="1">
      <alignment vertical="top" wrapText="1"/>
    </xf>
    <xf fontId="26" fillId="0" borderId="0" numFmtId="0" xfId="0" applyFont="1" applyAlignment="1">
      <alignment vertical="top"/>
    </xf>
    <xf fontId="36" fillId="0" borderId="10" numFmtId="0" xfId="0" applyFont="1" applyBorder="1" applyAlignment="1">
      <alignment wrapText="1"/>
    </xf>
    <xf fontId="0" fillId="0" borderId="0" numFmtId="0" xfId="0" applyAlignment="1">
      <alignment vertical="top"/>
    </xf>
    <xf fontId="37" fillId="0" borderId="41" numFmtId="0" xfId="0" applyFont="1" applyBorder="1"/>
    <xf fontId="29" fillId="0" borderId="41" numFmtId="0" xfId="0" applyFont="1" applyBorder="1" applyAlignment="1">
      <alignment horizontal="left"/>
    </xf>
    <xf fontId="37" fillId="0" borderId="41" numFmtId="0" xfId="0" applyFont="1" applyBorder="1" applyAlignment="1">
      <alignment horizontal="justify" vertical="center" wrapText="1"/>
    </xf>
    <xf fontId="0" fillId="0" borderId="41" numFmtId="0" xfId="0" applyBorder="1"/>
    <xf fontId="29" fillId="0" borderId="41" numFmtId="0" xfId="0" applyFont="1" applyBorder="1" applyAlignment="1">
      <alignment horizontal="left" vertical="center" wrapText="1"/>
    </xf>
    <xf fontId="28" fillId="0" borderId="0" numFmtId="0" xfId="0" applyFont="1"/>
    <xf fontId="37" fillId="0" borderId="0" numFmtId="0" xfId="0" applyFont="1" applyAlignment="1">
      <alignment horizontal="justify" vertical="center"/>
    </xf>
    <xf fontId="37" fillId="0" borderId="0" numFmtId="0" xfId="0" applyFont="1"/>
    <xf fontId="26" fillId="0" borderId="41" numFmtId="0" xfId="0" applyFont="1" applyBorder="1"/>
    <xf fontId="29" fillId="0" borderId="41" numFmtId="171" xfId="0" applyNumberFormat="1" applyFont="1" applyBorder="1" applyAlignment="1">
      <alignment horizontal="left" vertical="center" wrapText="1"/>
    </xf>
    <xf fontId="25" fillId="0" borderId="0" numFmtId="0" xfId="0" applyFont="1"/>
    <xf fontId="38" fillId="0" borderId="41" numFmtId="0" xfId="0" applyFont="1" applyBorder="1" applyAlignment="1">
      <alignment horizontal="justify" vertical="center" wrapText="1"/>
    </xf>
    <xf fontId="39" fillId="36" borderId="41" numFmtId="0" xfId="0" applyFont="1" applyFill="1" applyBorder="1" applyAlignment="1">
      <alignment horizontal="center" vertical="center" wrapText="1"/>
    </xf>
    <xf fontId="35" fillId="37" borderId="41" numFmtId="0" xfId="0" applyFont="1" applyFill="1" applyBorder="1" applyAlignment="1">
      <alignment horizontal="justify" vertical="center" wrapText="1"/>
    </xf>
    <xf fontId="28" fillId="0" borderId="0" numFmtId="0" xfId="0" applyFont="1" applyAlignment="1">
      <alignment horizontal="center"/>
    </xf>
    <xf fontId="35" fillId="37" borderId="41" numFmtId="0" xfId="0" applyFont="1" applyFill="1" applyBorder="1" applyAlignment="1">
      <alignment horizontal="center" vertical="center" wrapText="1"/>
    </xf>
    <xf fontId="35" fillId="37" borderId="11" numFmtId="0" xfId="0" applyFont="1" applyFill="1" applyBorder="1" applyAlignment="1">
      <alignment horizontal="center" vertical="center" wrapText="1"/>
    </xf>
  </cellXfs>
  <cellStyles count="49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Открывавшаяся гиперссылка" xfId="39" builtinId="9"/>
    <cellStyle name="Плохой" xfId="40" builtinId="27"/>
    <cellStyle name="Пояснение" xfId="41" builtinId="53"/>
    <cellStyle name="Примечание" xfId="42" builtinId="10"/>
    <cellStyle name="Процентный" xfId="43" builtinId="5"/>
    <cellStyle name="Связанная ячейка" xfId="44" builtinId="24"/>
    <cellStyle name="Текст предупреждения" xfId="45" builtinId="11"/>
    <cellStyle name="Финансовый" xfId="46" builtinId="3"/>
    <cellStyle name="Финансовый [0]" xfId="47" builtinId="6"/>
    <cellStyle name="Хороший" xfId="48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Наталья Заборовская" id="{74F8B9E6-5A01-2452-9B75-6DA1628A521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" personId="{74F8B9E6-5A01-2452-9B75-6DA1628A521F}" id="{00E500DF-0023-4976-831D-002800DB00AE}" done="0">
    <text xml:space="preserve">пречислить верхнеуровневые риски - 3-5
</text>
  </threadedComment>
  <threadedComment ref="A6" personId="{74F8B9E6-5A01-2452-9B75-6DA1628A521F}" id="{0060001A-0062-4CD4-AA9F-00B0007C0097}" done="0">
    <text xml:space="preserve">Определяем достижение цели через количественные показатели - минимум 3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74F8B9E6-5A01-2452-9B75-6DA1628A521F}" id="{001B0076-00F7-4111-86E6-00F6004A0004}" done="0">
    <text xml:space="preserve">Перечислить состав команды, з/п в месяц и продолжительность задействования в проекте по каждому сотруднику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personId="{74F8B9E6-5A01-2452-9B75-6DA1628A521F}" id="{001F00BF-009A-4F71-85CE-000D00330049}" done="0">
    <text xml:space="preserve">(Количество × Стоимость) × коэффициент удорожания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7" personId="{74F8B9E6-5A01-2452-9B75-6DA1628A521F}" id="{00A200D1-0095-4C0A-851F-00B600E70075}" done="0">
    <text xml:space="preserve">Итоговая стоимость по техническим ограничениям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personId="{74F8B9E6-5A01-2452-9B75-6DA1628A521F}" id="{00E80046-003E-4BE4-B774-002300810012}" done="0">
    <text xml:space="preserve">почему это может произойти?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5" personId="{74F8B9E6-5A01-2452-9B75-6DA1628A521F}" id="{007C00B5-0035-4633-B6F3-00BF003C0088}" done="0">
    <text xml:space="preserve">Получает регулярные обновления о статусе уточнения требований для корректировки планов
</text>
  </threadedComment>
  <threadedComment ref="K5" personId="{74F8B9E6-5A01-2452-9B75-6DA1628A521F}" id="{00D200F9-001D-475D-9A16-005E00C30068}" done="0">
    <text xml:space="preserve">Разъясняет бизнес-цели и приоритеты, утверждает ключевые границы продукта
</text>
  </threadedComment>
  <threadedComment ref="L5" personId="{74F8B9E6-5A01-2452-9B75-6DA1628A521F}" id="{005600B1-008F-4744-BD89-00BE00AF0005}" done="0">
    <text xml:space="preserve">Предоставляет информацию о текущих бизнес-процессах, данных и технических ограничениях со стороны заказчика
</text>
  </threadedComment>
  <threadedComment ref="C5" personId="{74F8B9E6-5A01-2452-9B75-6DA1628A521F}" id="{009B00DC-0082-4D13-A895-003C00D50010}" done="0">
    <text xml:space="preserve">Консультирует о реализуемости интерфейсных решений, предлагает прототипы для уточнения
</text>
  </threadedComment>
  <threadedComment ref="D5" personId="{74F8B9E6-5A01-2452-9B75-6DA1628A521F}" id="{003A006E-00EB-4BD1-AC24-0035009C00BE}" done="0">
    <text xml:space="preserve">Оценивает техническую реализуемость API и логики с точки зрения архитектуры
</text>
  </threadedComment>
  <threadedComment ref="E5" personId="{74F8B9E6-5A01-2452-9B75-6DA1628A521F}" id="{00EF00DD-000C-44EA-9F16-001300CC00AE}" done="0">
    <text xml:space="preserve">Отвечает за полноту, непротиворечивость и формализацию требований, финализирует спецификацию
</text>
  </threadedComment>
  <threadedComment ref="F5" personId="{74F8B9E6-5A01-2452-9B75-6DA1628A521F}" id="{003B0056-00B0-422A-8274-00FE009B00BB}" done="0">
    <text xml:space="preserve">(Документирует требования и пользовательские сценарии на понятном для команды языке
</text>
  </threadedComment>
  <threadedComment ref="G5" personId="{74F8B9E6-5A01-2452-9B75-6DA1628A521F}" id="{00D40033-000C-4515-8FA8-002F00930085}" done="0">
    <text xml:space="preserve">Консультирует по инфраструктурным требованиям и ограничениям, влияющим на развертывание
</text>
  </threadedComment>
  <threadedComment ref="H5" personId="{74F8B9E6-5A01-2452-9B75-6DA1628A521F}" id="{000200B3-0034-4B54-9A6E-00C6006900A8}" done="0">
    <text xml:space="preserve">Помогает сформулировать критерии приемки, чтобы требования были тестируемыми
</text>
  </threadedComment>
  <threadedComment ref="I5" personId="{74F8B9E6-5A01-2452-9B75-6DA1628A521F}" id="{008F00DA-00EA-40D3-8F72-000D00C70001}" done="0">
    <text xml:space="preserve">Создает интерактивные прототипы и визуализации
</text>
  </threadedComment>
  <threadedComment ref="J5" personId="{74F8B9E6-5A01-2452-9B75-6DA1628A521F}" id="{000D00EB-00E5-4E88-849F-008F00D80086}" done="0">
    <text xml:space="preserve">Информируется о завершении этапа сбора требований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4" personId="{74F8B9E6-5A01-2452-9B75-6DA1628A521F}" id="{00CF0062-00D9-4327-86F3-00A5001B0078}" done="0">
    <text xml:space="preserve">Метрики оценки эффекивности  из паспорта проекта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6.xml"/><Relationship  Id="rId2" Type="http://schemas.openxmlformats.org/officeDocument/2006/relationships/comments" Target="../comments6.xml"/><Relationship  Id="rId3" Type="http://schemas.openxmlformats.org/officeDocument/2006/relationships/vmlDrawing" Target="../drawings/vmlDrawing6.v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7.xml"/><Relationship  Id="rId2" Type="http://schemas.openxmlformats.org/officeDocument/2006/relationships/comments" Target="../comments7.xml"/><Relationship 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70" workbookViewId="0">
      <selection activeCell="A6" activeCellId="0" sqref="A6"/>
    </sheetView>
  </sheetViews>
  <sheetFormatPr baseColWidth="8" defaultRowHeight="15.050000000000001" customHeight="1"/>
  <cols>
    <col customWidth="1" min="1" max="1" width="53.726599999999998"/>
    <col customWidth="1" min="2" max="2" width="75.906199999999998"/>
    <col customWidth="1" min="3" max="3" width="29.542999999999999"/>
    <col customWidth="1" min="4" max="4" width="29"/>
    <col customWidth="1" min="5" max="5" width="20.816400000000002"/>
  </cols>
  <sheetData>
    <row r="1" ht="15.65">
      <c r="A1" s="1" t="s">
        <v>0</v>
      </c>
      <c r="B1" s="2"/>
    </row>
    <row r="2" ht="15.65">
      <c r="A2" s="1" t="s">
        <v>1</v>
      </c>
      <c r="B2" s="2"/>
    </row>
    <row r="3" ht="15.65">
      <c r="A3" s="1" t="s">
        <v>2</v>
      </c>
      <c r="B3" s="2" t="s">
        <v>3</v>
      </c>
    </row>
    <row r="4" ht="15.65">
      <c r="A4" s="1" t="s">
        <v>4</v>
      </c>
      <c r="B4" s="2"/>
    </row>
    <row r="5" ht="49.5" customHeight="1">
      <c r="A5" s="1" t="s">
        <v>5</v>
      </c>
      <c r="B5" s="2"/>
      <c r="C5" s="3"/>
      <c r="D5" s="3"/>
    </row>
    <row r="6" ht="49.5" customHeight="1">
      <c r="A6" s="4" t="s">
        <v>6</v>
      </c>
      <c r="B6" s="2"/>
      <c r="C6" s="3"/>
      <c r="D6" s="3"/>
    </row>
    <row r="7" ht="49.5" customHeight="1">
      <c r="A7" s="4" t="s">
        <v>7</v>
      </c>
      <c r="B7" s="2"/>
    </row>
    <row r="8" ht="41.950000000000003" customHeight="1">
      <c r="A8" s="5" t="s">
        <v>8</v>
      </c>
      <c r="B8" s="2"/>
      <c r="C8" s="6" t="s">
        <v>9</v>
      </c>
      <c r="D8" s="6" t="s">
        <v>10</v>
      </c>
      <c r="E8" s="6" t="s">
        <v>11</v>
      </c>
      <c r="F8" s="7"/>
    </row>
    <row r="9" ht="50.75" customHeight="1">
      <c r="A9" s="8"/>
      <c r="B9" s="2"/>
      <c r="C9" s="9"/>
      <c r="D9" s="9"/>
      <c r="E9" s="9"/>
      <c r="F9" s="7"/>
    </row>
    <row r="10" ht="26.949999999999999" customHeight="1">
      <c r="A10" s="8"/>
      <c r="B10" s="2"/>
      <c r="C10" s="9"/>
      <c r="D10" s="9"/>
      <c r="E10" s="9"/>
      <c r="F10" s="7"/>
    </row>
    <row r="11" ht="45.700000000000003" customHeight="1">
      <c r="A11" s="8"/>
      <c r="B11" s="2"/>
      <c r="C11" s="9"/>
      <c r="D11" s="9"/>
      <c r="E11" s="9"/>
      <c r="F11" s="7"/>
    </row>
    <row r="12" ht="34.450000000000003" customHeight="1">
      <c r="A12" s="8"/>
      <c r="B12" s="2"/>
      <c r="C12" s="9"/>
      <c r="D12" s="9"/>
      <c r="E12" s="9"/>
      <c r="F12" s="7"/>
    </row>
    <row r="13" ht="31.300000000000001" customHeight="1">
      <c r="A13" s="8"/>
      <c r="B13" s="2"/>
      <c r="C13" s="9"/>
      <c r="D13" s="9"/>
      <c r="E13" s="9"/>
      <c r="F13" s="7"/>
    </row>
    <row r="14" ht="25.050000000000001" customHeight="1">
      <c r="A14" s="10"/>
      <c r="B14" s="2"/>
    </row>
    <row r="15" ht="15.65">
      <c r="A15" s="1" t="s">
        <v>12</v>
      </c>
      <c r="B15" s="2"/>
    </row>
    <row r="16" ht="15.65">
      <c r="A16" s="1" t="s">
        <v>13</v>
      </c>
      <c r="B16" s="11"/>
    </row>
    <row r="17" ht="15.65">
      <c r="A17" s="1" t="s">
        <v>14</v>
      </c>
      <c r="B17" s="12"/>
    </row>
    <row r="18" ht="15.65">
      <c r="A18" s="1" t="s">
        <v>15</v>
      </c>
      <c r="B18" s="2"/>
    </row>
    <row r="19" ht="15.65">
      <c r="A19" s="1" t="s">
        <v>16</v>
      </c>
      <c r="B19" s="13">
        <f>'Смета (финансовые ограничения)'!I35</f>
        <v>636108</v>
      </c>
    </row>
    <row r="20" ht="15.65">
      <c r="A20" s="1" t="s">
        <v>17</v>
      </c>
      <c r="B20" s="2"/>
    </row>
    <row r="21" ht="15.65">
      <c r="A21" s="1" t="s">
        <v>18</v>
      </c>
      <c r="B21" s="2"/>
    </row>
    <row r="22" ht="15.65">
      <c r="A22" s="1" t="s">
        <v>19</v>
      </c>
      <c r="B22" s="2"/>
    </row>
  </sheetData>
  <mergeCells count="1">
    <mergeCell ref="A8:A1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16" activeCellId="0" sqref="C16"/>
    </sheetView>
  </sheetViews>
  <sheetFormatPr baseColWidth="8" defaultRowHeight="15.050000000000001" customHeight="1"/>
  <sheetData>
    <row r="1" ht="15.050000000000001">
      <c r="A1" s="14" t="s">
        <v>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B16"/>
    </sheetView>
  </sheetViews>
  <sheetFormatPr baseColWidth="8" defaultRowHeight="15.050000000000001" customHeight="1"/>
  <cols>
    <col customWidth="1" min="1" max="1" width="44.816400000000002"/>
    <col customWidth="1" min="2" max="2" width="26.906199999999998"/>
  </cols>
  <sheetData>
    <row r="1" ht="15.050000000000001">
      <c r="A1" s="15" t="s">
        <v>21</v>
      </c>
      <c r="B1" s="15" t="s">
        <v>22</v>
      </c>
    </row>
    <row r="2" ht="15.050000000000001">
      <c r="A2" s="15"/>
      <c r="B2" s="15"/>
    </row>
    <row r="3" ht="15.050000000000001">
      <c r="A3" s="15"/>
      <c r="B3" s="15"/>
    </row>
    <row r="4" ht="15.050000000000001">
      <c r="A4" s="15"/>
      <c r="B4" s="15"/>
    </row>
    <row r="5" ht="15.050000000000001">
      <c r="A5" s="15"/>
      <c r="B5" s="15"/>
    </row>
    <row r="6" ht="15.050000000000001">
      <c r="A6" s="15"/>
      <c r="B6" s="15"/>
    </row>
    <row r="7" ht="15.050000000000001">
      <c r="A7" s="15"/>
      <c r="B7" s="15"/>
    </row>
    <row r="8" ht="15.050000000000001">
      <c r="A8" s="15"/>
      <c r="B8" s="15"/>
    </row>
    <row r="9" ht="15.050000000000001">
      <c r="A9" s="15"/>
      <c r="B9" s="15"/>
    </row>
    <row r="10" ht="15.050000000000001">
      <c r="A10" s="15"/>
      <c r="B10" s="15"/>
    </row>
    <row r="11" ht="15.050000000000001">
      <c r="A11" s="15"/>
      <c r="B11" s="15"/>
    </row>
    <row r="12" ht="15.050000000000001">
      <c r="A12" s="15"/>
      <c r="B12" s="15"/>
    </row>
    <row r="13" ht="15.050000000000001">
      <c r="A13" s="15"/>
      <c r="B13" s="15"/>
    </row>
    <row r="14" ht="15.050000000000001">
      <c r="A14" s="15"/>
      <c r="B14" s="15"/>
    </row>
    <row r="15" ht="15.050000000000001">
      <c r="A15" s="15"/>
      <c r="B15" s="15"/>
    </row>
    <row r="16" ht="15.050000000000001">
      <c r="A16" s="15"/>
      <c r="B16" s="15"/>
    </row>
    <row r="17" ht="15.050000000000001">
      <c r="A17" s="15"/>
      <c r="B17" s="15"/>
    </row>
    <row r="18" ht="15.050000000000001">
      <c r="A18" s="15"/>
      <c r="B18" s="15"/>
    </row>
    <row r="19" ht="15.050000000000001">
      <c r="A19" s="15"/>
      <c r="B19" s="1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7" activeCellId="0" sqref="A1:C7"/>
    </sheetView>
  </sheetViews>
  <sheetFormatPr baseColWidth="8" defaultRowHeight="15.050000000000001" customHeight="1"/>
  <cols>
    <col customWidth="1" min="1" max="1" width="4.0898399999999997"/>
    <col customWidth="1" min="2" max="2" width="22.542999999999999"/>
    <col customWidth="1" min="3" max="3" width="28"/>
  </cols>
  <sheetData>
    <row r="1" ht="15.050000000000001">
      <c r="A1" s="15" t="s">
        <v>23</v>
      </c>
      <c r="B1" s="15" t="s">
        <v>24</v>
      </c>
      <c r="C1" s="15" t="s">
        <v>22</v>
      </c>
    </row>
    <row r="2" ht="15.050000000000001">
      <c r="A2" s="15"/>
      <c r="B2" s="15"/>
      <c r="C2" s="15"/>
    </row>
    <row r="3" ht="15.050000000000001">
      <c r="A3" s="15"/>
      <c r="B3" s="15"/>
      <c r="C3" s="15"/>
    </row>
    <row r="4" ht="15.050000000000001">
      <c r="A4" s="15"/>
      <c r="B4" s="15"/>
      <c r="C4" s="15"/>
    </row>
    <row r="5" ht="15.050000000000001">
      <c r="A5" s="15"/>
      <c r="B5" s="15"/>
      <c r="C5" s="15"/>
    </row>
    <row r="6" ht="15.050000000000001">
      <c r="A6" s="15"/>
      <c r="B6" s="15"/>
      <c r="C6" s="15"/>
    </row>
    <row r="7" ht="15.050000000000001">
      <c r="A7" s="15"/>
      <c r="B7" s="15"/>
      <c r="C7" s="1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2" activeCellId="0" sqref="C2"/>
    </sheetView>
  </sheetViews>
  <sheetFormatPr baseColWidth="8" defaultRowHeight="15.050000000000001" customHeight="1"/>
  <cols>
    <col customWidth="1" min="1" max="1" width="4.3632799999999996"/>
    <col customWidth="1" min="2" max="2" width="32.363300000000002"/>
    <col customWidth="1" min="3" max="3" width="27.363299999999999"/>
  </cols>
  <sheetData>
    <row r="1" ht="15.050000000000001">
      <c r="A1" s="15" t="s">
        <v>23</v>
      </c>
      <c r="B1" s="15" t="s">
        <v>24</v>
      </c>
      <c r="C1" s="15" t="s">
        <v>22</v>
      </c>
    </row>
    <row r="2" ht="15.050000000000001">
      <c r="A2" s="15"/>
      <c r="B2" s="15"/>
      <c r="C2" s="15"/>
    </row>
    <row r="3" ht="15.050000000000001">
      <c r="A3" s="15"/>
      <c r="B3" s="15"/>
      <c r="C3" s="15"/>
    </row>
    <row r="4" ht="15.050000000000001">
      <c r="A4" s="15"/>
      <c r="B4" s="15"/>
      <c r="C4" s="15"/>
    </row>
    <row r="5" ht="15.050000000000001">
      <c r="A5" s="15"/>
      <c r="B5" s="15"/>
      <c r="C5" s="15"/>
    </row>
    <row r="6" ht="15.050000000000001">
      <c r="A6" s="15"/>
      <c r="B6" s="15"/>
      <c r="C6" s="15"/>
    </row>
    <row r="7" ht="15.050000000000001">
      <c r="A7" s="15"/>
      <c r="B7" s="15"/>
      <c r="C7" s="1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4" activeCellId="0" sqref="B4:B11"/>
    </sheetView>
  </sheetViews>
  <sheetFormatPr baseColWidth="8" defaultRowHeight="15.050000000000001" customHeight="1"/>
  <cols>
    <col customWidth="1" min="1" max="1" width="11.9062"/>
    <col customWidth="1" min="2" max="2" width="40.906199999999998"/>
    <col customWidth="1" min="3" max="3" width="29.0898"/>
  </cols>
  <sheetData>
    <row r="1" ht="15.65">
      <c r="A1" s="16" t="s">
        <v>25</v>
      </c>
      <c r="B1" s="16" t="s">
        <v>26</v>
      </c>
      <c r="C1" s="16" t="s">
        <v>27</v>
      </c>
    </row>
    <row r="2" ht="47">
      <c r="A2" s="17" t="s">
        <v>28</v>
      </c>
      <c r="B2" s="17" t="s">
        <v>29</v>
      </c>
      <c r="C2" s="18" t="s">
        <v>30</v>
      </c>
    </row>
    <row r="3" ht="15.65">
      <c r="A3" s="17"/>
      <c r="B3" s="17"/>
      <c r="C3" s="17"/>
    </row>
    <row r="4" ht="15.65">
      <c r="A4" s="17"/>
      <c r="B4" s="17"/>
      <c r="C4" s="17"/>
    </row>
    <row r="5" ht="15.65">
      <c r="A5" s="17"/>
      <c r="B5" s="17"/>
      <c r="C5" s="17"/>
    </row>
    <row r="6" ht="15.65">
      <c r="A6" s="17"/>
      <c r="B6" s="17"/>
      <c r="C6" s="17"/>
    </row>
    <row r="7" ht="15.65">
      <c r="A7" s="17"/>
      <c r="B7" s="17"/>
      <c r="C7" s="17"/>
    </row>
    <row r="8" ht="15.65">
      <c r="A8" s="17"/>
      <c r="B8" s="17"/>
      <c r="C8" s="17"/>
    </row>
    <row r="9" ht="15.65">
      <c r="A9" s="17"/>
      <c r="B9" s="17"/>
      <c r="C9" s="17"/>
    </row>
    <row r="10" ht="15.65">
      <c r="A10" s="17"/>
      <c r="B10" s="17"/>
      <c r="C10" s="17"/>
    </row>
    <row r="11" ht="15.050000000000001">
      <c r="A11" s="3"/>
      <c r="B11" s="3"/>
      <c r="C11" s="3"/>
    </row>
    <row r="12" ht="15.050000000000001">
      <c r="A12" s="3"/>
      <c r="B12" s="3"/>
      <c r="C12" s="3"/>
    </row>
    <row r="13" ht="15.050000000000001">
      <c r="A13" s="3"/>
      <c r="B13" s="3"/>
      <c r="C13" s="3"/>
    </row>
    <row r="14" ht="15.050000000000001">
      <c r="A14" s="3"/>
      <c r="B14" s="3"/>
      <c r="C14" s="3"/>
    </row>
    <row r="15" ht="15.050000000000001">
      <c r="A15" s="3"/>
      <c r="B15" s="3"/>
      <c r="C15" s="3"/>
    </row>
    <row r="16" ht="15.050000000000001">
      <c r="A16" s="3"/>
      <c r="B16" s="3"/>
      <c r="C16" s="3"/>
    </row>
    <row r="17" ht="15.050000000000001">
      <c r="A17" s="3"/>
      <c r="B17" s="3"/>
      <c r="C17" s="3"/>
    </row>
    <row r="18" ht="15.050000000000001">
      <c r="A18" s="3"/>
      <c r="B18" s="3"/>
      <c r="C18" s="3"/>
    </row>
    <row r="19" ht="15.050000000000001">
      <c r="A19" s="3"/>
      <c r="B19" s="3"/>
      <c r="C19" s="3"/>
    </row>
    <row r="20" ht="15.050000000000001">
      <c r="A20" s="3"/>
      <c r="B20" s="3"/>
      <c r="C20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" zoomScale="100" workbookViewId="0">
      <selection activeCell="B12" activeCellId="0" sqref="B12:D26"/>
    </sheetView>
  </sheetViews>
  <sheetFormatPr baseColWidth="8" defaultRowHeight="15.050000000000001" customHeight="1"/>
  <cols>
    <col customWidth="1" min="1" max="1" style="7" width="3.8164099999999999"/>
    <col customWidth="1" min="2" max="2" style="7" width="19.726600000000001"/>
    <col customWidth="1" min="3" max="3" style="7" width="22.542999999999999"/>
    <col customWidth="1" min="4" max="4" style="7" width="18"/>
    <col customWidth="1" min="5" max="5" style="7" width="17"/>
    <col customWidth="1" min="6" max="6" style="7" width="16.6328"/>
  </cols>
  <sheetData>
    <row r="1" ht="31.300000000000001">
      <c r="A1" s="19" t="s">
        <v>23</v>
      </c>
      <c r="B1" s="19" t="s">
        <v>31</v>
      </c>
      <c r="C1" s="19" t="s">
        <v>32</v>
      </c>
      <c r="D1" s="19" t="s">
        <v>33</v>
      </c>
      <c r="E1" s="19" t="s">
        <v>34</v>
      </c>
    </row>
    <row r="2" ht="47">
      <c r="A2" s="17"/>
      <c r="B2" s="17" t="s">
        <v>35</v>
      </c>
      <c r="C2" s="17" t="s">
        <v>36</v>
      </c>
      <c r="D2" s="17" t="s">
        <v>37</v>
      </c>
      <c r="E2" s="17" t="s">
        <v>38</v>
      </c>
    </row>
    <row r="3" ht="15.65">
      <c r="A3" s="17"/>
      <c r="B3" s="17" t="s">
        <v>39</v>
      </c>
      <c r="C3" s="17">
        <v>1</v>
      </c>
      <c r="D3" s="17">
        <v>100000</v>
      </c>
      <c r="E3" s="17">
        <v>10</v>
      </c>
    </row>
    <row r="4" ht="15.65">
      <c r="A4" s="17"/>
      <c r="B4" s="17"/>
      <c r="C4" s="17"/>
      <c r="D4" s="17"/>
      <c r="E4" s="17"/>
    </row>
    <row r="5" ht="15.65">
      <c r="A5" s="17"/>
      <c r="B5" s="17"/>
      <c r="C5" s="17"/>
      <c r="D5" s="17"/>
      <c r="E5" s="17"/>
    </row>
    <row r="6" ht="15.65">
      <c r="A6" s="17"/>
      <c r="B6" s="17"/>
      <c r="C6" s="17"/>
      <c r="D6" s="17"/>
      <c r="E6" s="17"/>
    </row>
    <row r="7" ht="15.65">
      <c r="A7" s="17"/>
      <c r="B7" s="17"/>
      <c r="C7" s="17"/>
      <c r="D7" s="17"/>
      <c r="E7" s="17"/>
    </row>
    <row r="8" ht="15.65">
      <c r="A8" s="17"/>
      <c r="B8" s="17"/>
      <c r="C8" s="17"/>
      <c r="D8" s="17"/>
      <c r="E8" s="17"/>
    </row>
    <row r="9" ht="15.65">
      <c r="A9" s="17"/>
      <c r="B9" s="17"/>
      <c r="C9" s="17"/>
      <c r="D9" s="17"/>
      <c r="E9" s="17"/>
    </row>
    <row r="10" ht="15.65">
      <c r="A10" s="20"/>
      <c r="B10" s="20"/>
      <c r="C10" s="20"/>
      <c r="D10" s="20"/>
      <c r="E10" s="20"/>
    </row>
    <row r="11" ht="15.65">
      <c r="A11" s="20"/>
      <c r="B11" s="20"/>
      <c r="C11" s="20"/>
      <c r="D11" s="20"/>
      <c r="E11" s="20"/>
    </row>
    <row r="12" ht="15.65">
      <c r="A12" s="17"/>
      <c r="B12" s="17" t="s">
        <v>40</v>
      </c>
      <c r="C12" s="17" t="s">
        <v>41</v>
      </c>
      <c r="D12" s="17" t="s">
        <v>42</v>
      </c>
      <c r="E12" s="20"/>
    </row>
    <row r="13" ht="15.65">
      <c r="A13" s="17"/>
      <c r="B13" s="17"/>
      <c r="C13" s="17"/>
      <c r="D13" s="17"/>
      <c r="E13" s="20"/>
    </row>
    <row r="14" ht="15.65">
      <c r="A14" s="17"/>
      <c r="B14" s="17"/>
      <c r="C14" s="17"/>
      <c r="D14" s="17"/>
      <c r="E14" s="20"/>
    </row>
    <row r="15" ht="15.65">
      <c r="A15" s="17"/>
      <c r="B15" s="17"/>
      <c r="C15" s="17"/>
      <c r="D15" s="17"/>
      <c r="E15" s="20"/>
    </row>
    <row r="16" ht="15.65">
      <c r="A16" s="17"/>
      <c r="B16" s="17"/>
      <c r="C16" s="17"/>
      <c r="D16" s="17"/>
      <c r="E16" s="20"/>
    </row>
    <row r="17" ht="15.65">
      <c r="A17" s="17"/>
      <c r="B17" s="17"/>
      <c r="C17" s="17"/>
      <c r="D17" s="17"/>
      <c r="E17" s="20"/>
    </row>
    <row r="18" ht="15.65">
      <c r="A18" s="17"/>
      <c r="B18" s="17"/>
      <c r="C18" s="17"/>
      <c r="D18" s="17"/>
      <c r="E18" s="20"/>
    </row>
    <row r="19" ht="15.65">
      <c r="A19" s="17"/>
      <c r="B19" s="17"/>
      <c r="C19" s="17"/>
      <c r="D19" s="17"/>
      <c r="E19" s="20"/>
    </row>
    <row r="20" ht="15.65">
      <c r="A20" s="17"/>
      <c r="B20" s="17"/>
      <c r="C20" s="17"/>
      <c r="D20" s="17"/>
      <c r="E20" s="20"/>
    </row>
    <row r="21" ht="15.65">
      <c r="A21" s="17"/>
      <c r="B21" s="17"/>
      <c r="C21" s="17"/>
      <c r="D21" s="17"/>
      <c r="E21" s="20"/>
    </row>
    <row r="22" ht="15.65">
      <c r="A22" s="17"/>
      <c r="B22" s="17"/>
      <c r="C22" s="17"/>
      <c r="D22" s="17"/>
      <c r="E22" s="20"/>
    </row>
    <row r="23" ht="15.65">
      <c r="A23" s="17"/>
      <c r="B23" s="17"/>
      <c r="C23" s="17"/>
      <c r="D23" s="17"/>
      <c r="E23" s="20"/>
    </row>
    <row r="24" ht="15.050000000000001">
      <c r="A24" s="9"/>
      <c r="B24" s="9"/>
      <c r="C24" s="9"/>
      <c r="D24" s="9"/>
      <c r="E24" s="7"/>
    </row>
    <row r="25" ht="15.050000000000001">
      <c r="A25" s="9"/>
      <c r="B25" s="9"/>
      <c r="C25" s="9"/>
      <c r="D25" s="9"/>
      <c r="E25" s="7"/>
    </row>
    <row r="26" ht="15.050000000000001">
      <c r="A26" s="9"/>
      <c r="B26" s="9"/>
      <c r="C26" s="9"/>
      <c r="D26" s="9"/>
      <c r="E26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12" activeCellId="0" sqref="E12"/>
    </sheetView>
  </sheetViews>
  <sheetFormatPr baseColWidth="8" defaultRowHeight="15.050000000000001" customHeight="1"/>
  <cols>
    <col customWidth="1" min="1" max="1" width="5.5429700000000004"/>
    <col customWidth="1" min="2" max="2" width="27.453099999999999"/>
    <col customWidth="1" min="3" max="4" width="18.542999999999999"/>
    <col customWidth="1" min="5" max="5" width="22.1797"/>
  </cols>
  <sheetData>
    <row r="1" ht="52" customHeight="1">
      <c r="A1" s="21" t="s">
        <v>43</v>
      </c>
      <c r="B1" s="21"/>
      <c r="C1" s="21"/>
      <c r="D1" s="21"/>
      <c r="E1" s="21"/>
    </row>
    <row r="2" ht="52.600000000000001" customHeight="1">
      <c r="A2" s="19" t="s">
        <v>23</v>
      </c>
      <c r="B2" s="19" t="s">
        <v>44</v>
      </c>
      <c r="C2" s="19" t="s">
        <v>45</v>
      </c>
      <c r="D2" s="19" t="s">
        <v>46</v>
      </c>
      <c r="E2" s="22" t="s">
        <v>47</v>
      </c>
      <c r="F2" s="7"/>
    </row>
    <row r="3" ht="31.300000000000001">
      <c r="A3" s="17"/>
      <c r="B3" s="17" t="s">
        <v>48</v>
      </c>
      <c r="C3" s="17" t="s">
        <v>49</v>
      </c>
      <c r="D3" s="17" t="s">
        <v>50</v>
      </c>
      <c r="E3" s="17">
        <v>50000</v>
      </c>
      <c r="F3" s="7"/>
    </row>
    <row r="4" ht="15.65">
      <c r="A4" s="17"/>
      <c r="B4" s="17"/>
      <c r="C4" s="17"/>
      <c r="D4" s="17"/>
      <c r="E4" s="17">
        <v>50000</v>
      </c>
      <c r="F4" s="7"/>
    </row>
    <row r="5" ht="15.65">
      <c r="A5" s="17"/>
      <c r="B5" s="17"/>
      <c r="C5" s="17"/>
      <c r="D5" s="17"/>
      <c r="E5" s="17"/>
      <c r="F5" s="7"/>
    </row>
    <row r="6" ht="15.65">
      <c r="A6" s="17"/>
      <c r="B6" s="17"/>
      <c r="C6" s="17"/>
      <c r="D6" s="17"/>
      <c r="E6" s="17"/>
      <c r="F6" s="7"/>
    </row>
    <row r="7" ht="15.65">
      <c r="A7" s="17"/>
      <c r="B7" s="17"/>
      <c r="C7" s="17"/>
      <c r="D7" s="17"/>
      <c r="E7" s="17"/>
      <c r="F7" s="7"/>
    </row>
    <row r="8" ht="15.65">
      <c r="A8" s="17"/>
      <c r="B8" s="17"/>
      <c r="C8" s="17"/>
      <c r="D8" s="17"/>
      <c r="E8" s="17"/>
      <c r="F8" s="7"/>
    </row>
    <row r="9" ht="15.65">
      <c r="A9" s="17"/>
      <c r="B9" s="17"/>
      <c r="C9" s="17"/>
      <c r="D9" s="17"/>
      <c r="E9" s="17"/>
      <c r="F9" s="7"/>
    </row>
    <row r="10" ht="15.65">
      <c r="A10" s="17"/>
      <c r="B10" s="17"/>
      <c r="C10" s="17"/>
      <c r="D10" s="17"/>
      <c r="E10" s="17"/>
      <c r="F10" s="7"/>
    </row>
    <row r="11" ht="15.65">
      <c r="A11" s="17"/>
      <c r="B11" s="17"/>
      <c r="C11" s="17"/>
      <c r="D11" s="17"/>
      <c r="E11" s="17"/>
      <c r="F11" s="7"/>
    </row>
    <row r="12" ht="15.65">
      <c r="A12" s="23" t="s">
        <v>51</v>
      </c>
      <c r="B12" s="24"/>
      <c r="C12" s="24"/>
      <c r="D12" s="25"/>
      <c r="E12" s="17">
        <f>SUM(E3:E11)</f>
        <v>100000</v>
      </c>
      <c r="F12" s="7"/>
    </row>
    <row r="13" ht="15.050000000000001">
      <c r="A13" s="7"/>
      <c r="B13" s="7"/>
      <c r="C13" s="7"/>
      <c r="D13" s="7"/>
      <c r="E13" s="7"/>
      <c r="F13" s="7"/>
    </row>
    <row r="14" ht="15.050000000000001">
      <c r="A14" s="7"/>
      <c r="B14" s="7"/>
      <c r="C14" s="7"/>
      <c r="D14" s="7"/>
      <c r="E14" s="7"/>
      <c r="F14" s="7"/>
    </row>
    <row r="15" ht="15.050000000000001">
      <c r="A15" s="7"/>
      <c r="B15" s="7"/>
      <c r="C15" s="7"/>
      <c r="D15" s="7"/>
      <c r="E15" s="7"/>
      <c r="F15" s="7"/>
    </row>
  </sheetData>
  <mergeCells count="2">
    <mergeCell ref="A1:E1"/>
    <mergeCell ref="A12:D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60" workbookViewId="0">
      <selection activeCell="C11" activeCellId="0" sqref="C11:C20"/>
    </sheetView>
  </sheetViews>
  <sheetFormatPr baseColWidth="8" defaultColWidth="8.90625" defaultRowHeight="15.65" customHeight="1"/>
  <cols>
    <col customWidth="1" min="1" max="1" style="26" width="8.90625"/>
    <col customWidth="1" min="2" max="2" style="26" width="26.906199999999998"/>
    <col customWidth="1" min="3" max="3" style="26" width="27.453099999999999"/>
    <col customWidth="1" min="4" max="4" style="26" width="16.453099999999999"/>
    <col customWidth="1" min="5" max="5" style="26" width="19.542999999999999"/>
    <col customWidth="1" min="6" max="6" style="26" width="16.453099999999999"/>
    <col customWidth="1" min="7" max="7" style="26" width="27.6328"/>
    <col customWidth="1" min="8" max="8" style="26" width="23.6328"/>
    <col bestFit="1" customWidth="1" min="9" max="9" style="26" width="19.453099999999999"/>
    <col customWidth="1" min="10" max="10" style="26" width="13.363300000000001"/>
    <col customWidth="1" min="11" max="11" style="26" width="2.8164099999999999"/>
    <col customWidth="1" min="12" max="257" style="26" width="8.90625"/>
  </cols>
  <sheetData>
    <row r="1" ht="15.65">
      <c r="I1" s="27" t="s">
        <v>52</v>
      </c>
    </row>
    <row r="3" ht="15.65">
      <c r="A3" s="28" t="s">
        <v>53</v>
      </c>
      <c r="B3" s="28"/>
      <c r="C3" s="28"/>
      <c r="D3" s="28"/>
      <c r="E3" s="28"/>
      <c r="F3" s="28"/>
      <c r="G3" s="28"/>
      <c r="H3" s="28"/>
      <c r="I3" s="28"/>
      <c r="J3" s="29"/>
    </row>
    <row r="4" ht="31.5" customHeight="1">
      <c r="A4" s="30" t="s">
        <v>54</v>
      </c>
      <c r="B4" s="30"/>
      <c r="C4" s="30"/>
      <c r="D4" s="30"/>
      <c r="E4" s="30"/>
      <c r="F4" s="30"/>
      <c r="G4" s="30"/>
      <c r="H4" s="30"/>
      <c r="I4" s="30"/>
      <c r="J4" s="29"/>
    </row>
    <row r="5" ht="15.65">
      <c r="A5" s="31" t="s">
        <v>55</v>
      </c>
      <c r="B5" s="32"/>
      <c r="C5" s="32"/>
      <c r="D5" s="32"/>
      <c r="E5" s="32"/>
      <c r="F5" s="32"/>
      <c r="G5" s="32"/>
      <c r="H5" s="32"/>
      <c r="I5" s="32"/>
      <c r="J5" s="29"/>
    </row>
    <row r="6" ht="16.300000000000001"/>
    <row r="7" s="33" customFormat="1" ht="43.549999999999997" customHeight="1">
      <c r="A7" s="34" t="s">
        <v>56</v>
      </c>
      <c r="B7" s="34" t="s">
        <v>57</v>
      </c>
      <c r="C7" s="34" t="s">
        <v>58</v>
      </c>
      <c r="D7" s="35"/>
      <c r="E7" s="34" t="s">
        <v>59</v>
      </c>
      <c r="F7" s="35"/>
      <c r="G7" s="34" t="s">
        <v>60</v>
      </c>
      <c r="H7" s="34" t="s">
        <v>61</v>
      </c>
      <c r="I7" s="34" t="s">
        <v>62</v>
      </c>
      <c r="J7" s="36"/>
    </row>
    <row r="8" s="33" customFormat="1" ht="43.549999999999997" customHeight="1">
      <c r="A8" s="34"/>
      <c r="B8" s="34"/>
      <c r="C8" s="34" t="s">
        <v>31</v>
      </c>
      <c r="D8" s="34" t="s">
        <v>63</v>
      </c>
      <c r="E8" s="34" t="s">
        <v>64</v>
      </c>
      <c r="F8" s="34" t="s">
        <v>65</v>
      </c>
      <c r="G8" s="35"/>
      <c r="H8" s="35"/>
      <c r="I8" s="35"/>
      <c r="J8" s="36"/>
    </row>
    <row r="9" ht="16.300000000000001">
      <c r="A9" s="37">
        <v>1</v>
      </c>
      <c r="B9" s="38"/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9" t="s">
        <v>66</v>
      </c>
      <c r="J9" s="40"/>
    </row>
    <row r="10" ht="47.450000000000003" customHeight="1">
      <c r="A10" s="41" t="s">
        <v>67</v>
      </c>
      <c r="B10" s="42"/>
      <c r="C10" s="43" t="s">
        <v>68</v>
      </c>
      <c r="D10" s="43">
        <v>1</v>
      </c>
      <c r="E10" s="44">
        <v>45901</v>
      </c>
      <c r="F10" s="45">
        <v>46174</v>
      </c>
      <c r="G10" s="43">
        <v>100</v>
      </c>
      <c r="H10" s="43">
        <v>900</v>
      </c>
      <c r="I10" s="46">
        <f t="shared" ref="I10:I21" si="0">D10*G10*H10</f>
        <v>90000</v>
      </c>
      <c r="J10" s="40"/>
      <c r="O10" s="26"/>
      <c r="P10" s="26"/>
      <c r="Q10" s="26"/>
    </row>
    <row r="11" ht="16.300000000000001">
      <c r="A11" s="47"/>
      <c r="B11" s="48"/>
      <c r="C11" s="43" t="s">
        <v>69</v>
      </c>
      <c r="D11" s="43">
        <v>1</v>
      </c>
      <c r="E11" s="44">
        <v>45901</v>
      </c>
      <c r="F11" s="45">
        <v>46174</v>
      </c>
      <c r="G11" s="43">
        <v>500</v>
      </c>
      <c r="H11" s="43">
        <v>500</v>
      </c>
      <c r="I11" s="46">
        <f t="shared" si="0"/>
        <v>250000</v>
      </c>
      <c r="J11" s="49"/>
      <c r="O11" s="26"/>
      <c r="P11" s="26"/>
      <c r="Q11" s="26"/>
    </row>
    <row r="12" ht="16.300000000000001">
      <c r="A12" s="47"/>
      <c r="B12" s="48"/>
      <c r="C12" s="43" t="s">
        <v>70</v>
      </c>
      <c r="D12" s="43">
        <v>1</v>
      </c>
      <c r="E12" s="44">
        <v>45901</v>
      </c>
      <c r="F12" s="45">
        <v>46174</v>
      </c>
      <c r="G12" s="43"/>
      <c r="H12" s="43"/>
      <c r="I12" s="46">
        <f t="shared" si="0"/>
        <v>0</v>
      </c>
      <c r="J12" s="49"/>
      <c r="O12" s="26"/>
      <c r="P12" s="26"/>
      <c r="Q12" s="26"/>
    </row>
    <row r="13" ht="16.300000000000001">
      <c r="A13" s="47"/>
      <c r="B13" s="48"/>
      <c r="C13" s="43" t="s">
        <v>71</v>
      </c>
      <c r="D13" s="43">
        <v>4</v>
      </c>
      <c r="E13" s="44">
        <v>45901</v>
      </c>
      <c r="F13" s="45">
        <v>46174</v>
      </c>
      <c r="G13" s="50"/>
      <c r="H13" s="43"/>
      <c r="I13" s="46">
        <f t="shared" si="0"/>
        <v>0</v>
      </c>
      <c r="J13" s="49"/>
      <c r="O13" s="26"/>
      <c r="P13" s="26"/>
      <c r="Q13" s="26"/>
    </row>
    <row r="14" ht="16.300000000000001">
      <c r="A14" s="47"/>
      <c r="B14" s="48"/>
      <c r="C14" s="43" t="s">
        <v>72</v>
      </c>
      <c r="D14" s="43">
        <v>4</v>
      </c>
      <c r="E14" s="44">
        <v>45901</v>
      </c>
      <c r="F14" s="45">
        <v>46174</v>
      </c>
      <c r="G14" s="50"/>
      <c r="H14" s="43"/>
      <c r="I14" s="46">
        <f t="shared" si="0"/>
        <v>0</v>
      </c>
      <c r="J14" s="49"/>
      <c r="K14" s="26"/>
      <c r="O14" s="26"/>
      <c r="P14" s="26"/>
      <c r="Q14" s="26"/>
    </row>
    <row r="15" ht="16.300000000000001">
      <c r="A15" s="47"/>
      <c r="B15" s="48"/>
      <c r="C15" s="43" t="s">
        <v>73</v>
      </c>
      <c r="D15" s="43">
        <v>2</v>
      </c>
      <c r="E15" s="44">
        <v>45901</v>
      </c>
      <c r="F15" s="45">
        <v>46174</v>
      </c>
      <c r="G15" s="50"/>
      <c r="H15" s="43"/>
      <c r="I15" s="46">
        <f t="shared" si="0"/>
        <v>0</v>
      </c>
      <c r="J15" s="49"/>
      <c r="K15" s="26"/>
      <c r="O15" s="26"/>
      <c r="P15" s="26"/>
      <c r="Q15" s="26"/>
    </row>
    <row r="16" ht="16.300000000000001">
      <c r="A16" s="47"/>
      <c r="B16" s="48"/>
      <c r="C16" s="43" t="s">
        <v>74</v>
      </c>
      <c r="D16" s="43">
        <v>1</v>
      </c>
      <c r="E16" s="44">
        <v>45901</v>
      </c>
      <c r="F16" s="45">
        <v>46174</v>
      </c>
      <c r="G16" s="50"/>
      <c r="H16" s="43"/>
      <c r="I16" s="46">
        <f t="shared" si="0"/>
        <v>0</v>
      </c>
      <c r="J16" s="49"/>
      <c r="K16" s="51"/>
      <c r="O16" s="26"/>
      <c r="P16" s="26"/>
      <c r="Q16" s="26"/>
    </row>
    <row r="17" ht="16.300000000000001">
      <c r="A17" s="47"/>
      <c r="B17" s="48"/>
      <c r="C17" s="43" t="s">
        <v>75</v>
      </c>
      <c r="D17" s="43">
        <v>2</v>
      </c>
      <c r="E17" s="44">
        <v>45901</v>
      </c>
      <c r="F17" s="45">
        <v>46174</v>
      </c>
      <c r="G17" s="50"/>
      <c r="H17" s="43"/>
      <c r="I17" s="46">
        <f t="shared" si="0"/>
        <v>0</v>
      </c>
      <c r="J17" s="49"/>
      <c r="K17" s="51"/>
      <c r="O17" s="26"/>
      <c r="P17" s="26"/>
      <c r="Q17" s="26"/>
    </row>
    <row r="18" ht="16.300000000000001">
      <c r="A18" s="47"/>
      <c r="B18" s="48"/>
      <c r="C18" s="43" t="s">
        <v>76</v>
      </c>
      <c r="D18" s="43">
        <v>3</v>
      </c>
      <c r="E18" s="44">
        <v>45901</v>
      </c>
      <c r="F18" s="45">
        <v>46174</v>
      </c>
      <c r="G18" s="50"/>
      <c r="H18" s="43"/>
      <c r="I18" s="46">
        <f t="shared" si="0"/>
        <v>0</v>
      </c>
      <c r="J18" s="49"/>
      <c r="K18" s="51"/>
      <c r="O18" s="26"/>
      <c r="P18" s="26"/>
      <c r="Q18" s="26"/>
    </row>
    <row r="19" ht="16.300000000000001">
      <c r="A19" s="47"/>
      <c r="B19" s="48"/>
      <c r="C19" s="43" t="s">
        <v>77</v>
      </c>
      <c r="D19" s="43">
        <v>1</v>
      </c>
      <c r="E19" s="44">
        <v>45901</v>
      </c>
      <c r="F19" s="45">
        <v>46174</v>
      </c>
      <c r="G19" s="50"/>
      <c r="H19" s="43"/>
      <c r="I19" s="46">
        <f t="shared" si="0"/>
        <v>0</v>
      </c>
      <c r="J19" s="49"/>
      <c r="K19" s="51"/>
      <c r="O19" s="26"/>
      <c r="P19" s="26"/>
      <c r="Q19" s="26"/>
    </row>
    <row r="20" ht="16.300000000000001">
      <c r="A20" s="47"/>
      <c r="B20" s="48"/>
      <c r="C20" s="43" t="s">
        <v>78</v>
      </c>
      <c r="D20" s="43">
        <v>1</v>
      </c>
      <c r="E20" s="44">
        <v>45901</v>
      </c>
      <c r="F20" s="45">
        <v>46174</v>
      </c>
      <c r="G20" s="43"/>
      <c r="H20" s="43"/>
      <c r="I20" s="46">
        <f t="shared" si="0"/>
        <v>0</v>
      </c>
      <c r="J20" s="49"/>
      <c r="K20" s="51"/>
      <c r="O20" s="26"/>
      <c r="P20" s="26"/>
      <c r="Q20" s="26"/>
    </row>
    <row r="21" ht="15.65">
      <c r="A21" s="52"/>
      <c r="B21" s="53"/>
      <c r="C21" s="43" t="s">
        <v>79</v>
      </c>
      <c r="D21" s="43">
        <v>1</v>
      </c>
      <c r="E21" s="44">
        <v>45901</v>
      </c>
      <c r="F21" s="45">
        <v>46174</v>
      </c>
      <c r="G21" s="43"/>
      <c r="H21" s="43"/>
      <c r="I21" s="46">
        <f t="shared" si="0"/>
        <v>0</v>
      </c>
      <c r="J21" s="49"/>
      <c r="K21" s="51"/>
      <c r="O21" s="26"/>
      <c r="P21" s="26"/>
      <c r="Q21" s="26"/>
    </row>
    <row r="22" ht="30.699999999999999" customHeight="1">
      <c r="A22" s="54"/>
      <c r="B22" s="55"/>
      <c r="C22" s="56"/>
      <c r="D22" s="57"/>
      <c r="E22" s="58"/>
      <c r="F22" s="59"/>
      <c r="G22" s="57"/>
      <c r="H22" s="60"/>
      <c r="I22" s="61"/>
      <c r="J22" s="49"/>
      <c r="K22" s="26"/>
      <c r="O22" s="26"/>
      <c r="P22" s="26"/>
      <c r="Q22" s="26"/>
    </row>
    <row r="23" ht="19.899999999999999" customHeight="1">
      <c r="A23" s="62" t="s">
        <v>80</v>
      </c>
      <c r="B23" s="62"/>
      <c r="C23" s="63"/>
      <c r="D23" s="63"/>
      <c r="E23" s="63"/>
      <c r="F23" s="63"/>
      <c r="G23" s="63"/>
      <c r="H23" s="63"/>
      <c r="I23" s="64">
        <f>SUM(I10:I22)</f>
        <v>340000</v>
      </c>
      <c r="K23" s="26"/>
    </row>
    <row r="24" ht="19.899999999999999" customHeight="1">
      <c r="A24" s="65" t="s">
        <v>81</v>
      </c>
      <c r="B24" s="66"/>
      <c r="C24" s="66"/>
      <c r="D24" s="66"/>
      <c r="E24" s="66"/>
      <c r="F24" s="66"/>
      <c r="G24" s="66"/>
      <c r="H24" s="66"/>
      <c r="I24" s="67"/>
      <c r="J24" s="40"/>
      <c r="K24" s="26"/>
    </row>
    <row r="25" ht="19.899999999999999" customHeight="1">
      <c r="A25" s="68" t="s">
        <v>82</v>
      </c>
      <c r="B25" s="69"/>
      <c r="C25" s="69"/>
      <c r="D25" s="69"/>
      <c r="E25" s="69"/>
      <c r="F25" s="69"/>
      <c r="G25" s="69"/>
      <c r="H25" s="69"/>
      <c r="I25" s="70">
        <f>I23</f>
        <v>340000</v>
      </c>
      <c r="J25" s="40"/>
      <c r="K25" s="71"/>
    </row>
    <row r="26" ht="19.449999999999999" customHeight="1">
      <c r="A26" s="68" t="s">
        <v>83</v>
      </c>
      <c r="B26" s="69"/>
      <c r="C26" s="69"/>
      <c r="D26" s="69"/>
      <c r="E26" s="69"/>
      <c r="F26" s="69"/>
      <c r="G26" s="69"/>
      <c r="H26" s="69"/>
      <c r="I26" s="72">
        <f>I25*0.10000000000000001</f>
        <v>34000</v>
      </c>
      <c r="J26" s="73"/>
      <c r="K26" s="74"/>
    </row>
    <row r="27" ht="19.449999999999999" customHeight="1">
      <c r="A27" s="75" t="s">
        <v>84</v>
      </c>
      <c r="B27" s="76"/>
      <c r="C27" s="76"/>
      <c r="D27" s="76"/>
      <c r="E27" s="76"/>
      <c r="F27" s="76"/>
      <c r="G27" s="76"/>
      <c r="H27" s="76"/>
      <c r="I27" s="77">
        <f>'Технические ограничения'!E12</f>
        <v>100000</v>
      </c>
      <c r="J27" s="40"/>
      <c r="K27" s="74"/>
    </row>
    <row r="28" ht="19.899999999999999" customHeight="1">
      <c r="A28" s="75" t="s">
        <v>85</v>
      </c>
      <c r="B28" s="76"/>
      <c r="C28" s="76"/>
      <c r="D28" s="76"/>
      <c r="E28" s="76"/>
      <c r="F28" s="76"/>
      <c r="G28" s="76"/>
      <c r="H28" s="76"/>
      <c r="I28" s="77">
        <v>0</v>
      </c>
      <c r="J28" s="40"/>
      <c r="K28" s="74"/>
    </row>
    <row r="29" ht="19.899999999999999" customHeight="1">
      <c r="A29" s="78" t="s">
        <v>86</v>
      </c>
      <c r="B29" s="79"/>
      <c r="C29" s="69"/>
      <c r="D29" s="69"/>
      <c r="E29" s="69"/>
      <c r="F29" s="69"/>
      <c r="G29" s="69"/>
      <c r="H29" s="69"/>
      <c r="I29" s="70">
        <f>I25+I26+I27+I28</f>
        <v>474000</v>
      </c>
      <c r="J29" s="40"/>
      <c r="K29" s="71"/>
    </row>
    <row r="30" ht="19.899999999999999" customHeight="1">
      <c r="A30" s="75" t="s">
        <v>87</v>
      </c>
      <c r="B30" s="76"/>
      <c r="C30" s="76"/>
      <c r="D30" s="76"/>
      <c r="E30" s="76"/>
      <c r="F30" s="76"/>
      <c r="G30" s="76"/>
      <c r="H30" s="76"/>
      <c r="I30" s="77">
        <v>0</v>
      </c>
      <c r="J30" s="40"/>
      <c r="K30" s="74"/>
    </row>
    <row r="31" ht="19.899999999999999" customHeight="1">
      <c r="A31" s="80" t="s">
        <v>88</v>
      </c>
      <c r="B31" s="81"/>
      <c r="C31" s="81"/>
      <c r="D31" s="81"/>
      <c r="E31" s="81"/>
      <c r="F31" s="81"/>
      <c r="G31" s="81"/>
      <c r="H31" s="81"/>
      <c r="I31" s="77">
        <f>I29+I30</f>
        <v>474000</v>
      </c>
      <c r="J31" s="40"/>
      <c r="K31" s="74"/>
    </row>
    <row r="32" ht="19.899999999999999" customHeight="1">
      <c r="A32" s="68" t="s">
        <v>89</v>
      </c>
      <c r="B32" s="69"/>
      <c r="C32" s="69"/>
      <c r="D32" s="69"/>
      <c r="E32" s="69"/>
      <c r="F32" s="69"/>
      <c r="G32" s="69"/>
      <c r="H32" s="69"/>
      <c r="I32" s="77">
        <f>I31*0.10000000000000001</f>
        <v>47400</v>
      </c>
      <c r="J32" s="73"/>
      <c r="K32" s="74"/>
      <c r="Q32" s="82"/>
    </row>
    <row r="33" ht="19.899999999999999" customHeight="1">
      <c r="A33" s="83" t="s">
        <v>90</v>
      </c>
      <c r="B33" s="84"/>
      <c r="C33" s="84"/>
      <c r="D33" s="84"/>
      <c r="E33" s="84"/>
      <c r="F33" s="84"/>
      <c r="G33" s="84"/>
      <c r="H33" s="84"/>
      <c r="I33" s="85">
        <f>I32+I31</f>
        <v>521400</v>
      </c>
      <c r="J33" s="82"/>
      <c r="K33" s="71"/>
    </row>
    <row r="34" s="26" customFormat="1" ht="19.449999999999999" customHeight="1">
      <c r="A34" s="86" t="s">
        <v>91</v>
      </c>
      <c r="B34" s="86"/>
      <c r="C34" s="86"/>
      <c r="D34" s="86"/>
      <c r="E34" s="86"/>
      <c r="F34" s="86"/>
      <c r="G34" s="86"/>
      <c r="H34" s="87"/>
      <c r="I34" s="77">
        <f>I33*0.22</f>
        <v>114708</v>
      </c>
      <c r="J34" s="82"/>
      <c r="K34" s="71"/>
    </row>
    <row r="35" s="26" customFormat="1" ht="16.300000000000001" customHeight="1">
      <c r="A35" s="88" t="s">
        <v>92</v>
      </c>
      <c r="B35" s="89"/>
      <c r="C35" s="89"/>
      <c r="D35" s="89"/>
      <c r="E35" s="89"/>
      <c r="F35" s="89"/>
      <c r="G35" s="89"/>
      <c r="H35" s="90"/>
      <c r="I35" s="91">
        <f>I33+0.22*I33</f>
        <v>636108</v>
      </c>
    </row>
    <row r="36" ht="15.65">
      <c r="K36" s="26"/>
    </row>
    <row r="37" ht="15.65">
      <c r="K37" s="26"/>
    </row>
    <row r="40" ht="34.450000000000003" customHeight="1"/>
  </sheetData>
  <mergeCells count="25">
    <mergeCell ref="J7:J8"/>
    <mergeCell ref="A3:I3"/>
    <mergeCell ref="A4:I4"/>
    <mergeCell ref="A5:I5"/>
    <mergeCell ref="A7:A8"/>
    <mergeCell ref="B7:B8"/>
    <mergeCell ref="C7:D7"/>
    <mergeCell ref="H7:H8"/>
    <mergeCell ref="I7:I8"/>
    <mergeCell ref="E7:F7"/>
    <mergeCell ref="G7:G8"/>
    <mergeCell ref="A34:H34"/>
    <mergeCell ref="A28:H28"/>
    <mergeCell ref="A10:B21"/>
    <mergeCell ref="A29:H29"/>
    <mergeCell ref="A32:H32"/>
    <mergeCell ref="A35:H35"/>
    <mergeCell ref="A33:H33"/>
    <mergeCell ref="A23:H23"/>
    <mergeCell ref="A24:H24"/>
    <mergeCell ref="A25:H25"/>
    <mergeCell ref="A26:H26"/>
    <mergeCell ref="A27:H27"/>
    <mergeCell ref="A30:H30"/>
    <mergeCell ref="A31:H31"/>
  </mergeCells>
  <printOptions headings="0" gridLines="0"/>
  <pageMargins left="0.69999999999999996" right="0.69999999999999996" top="0.75" bottom="0.75" header="0.29999999999999999" footer="0.29999999999999999"/>
  <pageSetup paperSize="9" scale="6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0" zoomScale="85" workbookViewId="0">
      <selection activeCell="E28" activeCellId="0" sqref="E28:H40"/>
    </sheetView>
  </sheetViews>
  <sheetFormatPr baseColWidth="8" defaultRowHeight="15.050000000000001" customHeight="1"/>
  <cols>
    <col customWidth="1" min="1" max="1" width="4.4531200000000002"/>
    <col customWidth="1" min="2" max="2" width="37.179699999999997"/>
    <col customWidth="1" min="3" max="3" width="23.542999999999999"/>
    <col customWidth="1" min="4" max="4" width="14.726599999999999"/>
    <col customWidth="1" min="5" max="5" width="12.8164"/>
    <col customWidth="1" min="6" max="6" width="9.5429700000000004"/>
    <col customWidth="1" min="7" max="7" width="10"/>
    <col customWidth="1" min="8" max="8" width="54.453099999999999"/>
  </cols>
  <sheetData>
    <row r="1" ht="15.65">
      <c r="A1" s="17" t="s">
        <v>23</v>
      </c>
      <c r="B1" s="17" t="s">
        <v>93</v>
      </c>
      <c r="C1" s="17" t="s">
        <v>94</v>
      </c>
      <c r="D1" s="17" t="s">
        <v>95</v>
      </c>
      <c r="E1" s="17" t="s">
        <v>96</v>
      </c>
      <c r="F1" s="17" t="s">
        <v>97</v>
      </c>
      <c r="G1" s="17" t="s">
        <v>98</v>
      </c>
      <c r="H1" s="17" t="s">
        <v>99</v>
      </c>
    </row>
    <row r="2" ht="187.84999999999999">
      <c r="A2" s="17">
        <v>1</v>
      </c>
      <c r="B2" s="17" t="s">
        <v>100</v>
      </c>
      <c r="C2" s="17" t="s">
        <v>101</v>
      </c>
      <c r="D2" s="17" t="s">
        <v>102</v>
      </c>
      <c r="E2" s="17">
        <v>0.80000000000000004</v>
      </c>
      <c r="F2" s="17">
        <v>0.90000000000000002</v>
      </c>
      <c r="G2" s="17">
        <f t="shared" ref="G2:G21" si="1">E2*F2</f>
        <v>0.72000000000000008</v>
      </c>
      <c r="H2" s="17" t="s">
        <v>103</v>
      </c>
    </row>
    <row r="3" ht="15.65">
      <c r="A3" s="17">
        <v>2</v>
      </c>
      <c r="B3" s="17"/>
      <c r="C3" s="17"/>
      <c r="D3" s="17"/>
      <c r="E3" s="17"/>
      <c r="F3" s="17"/>
      <c r="G3" s="17">
        <f t="shared" si="1"/>
        <v>0</v>
      </c>
      <c r="H3" s="17"/>
    </row>
    <row r="4" ht="15.65">
      <c r="A4" s="17">
        <v>3</v>
      </c>
      <c r="B4" s="17"/>
      <c r="C4" s="17"/>
      <c r="D4" s="17"/>
      <c r="E4" s="17"/>
      <c r="F4" s="17"/>
      <c r="G4" s="17">
        <f t="shared" si="1"/>
        <v>0</v>
      </c>
      <c r="H4" s="17"/>
    </row>
    <row r="5" ht="15.65">
      <c r="A5" s="17">
        <v>4</v>
      </c>
      <c r="B5" s="17"/>
      <c r="C5" s="17"/>
      <c r="D5" s="17"/>
      <c r="E5" s="17"/>
      <c r="F5" s="17"/>
      <c r="G5" s="17">
        <f t="shared" si="1"/>
        <v>0</v>
      </c>
      <c r="H5" s="17"/>
    </row>
    <row r="6" ht="15.65">
      <c r="A6" s="17">
        <v>5</v>
      </c>
      <c r="B6" s="17"/>
      <c r="C6" s="17"/>
      <c r="D6" s="17"/>
      <c r="E6" s="17"/>
      <c r="F6" s="17"/>
      <c r="G6" s="17">
        <f t="shared" si="1"/>
        <v>0</v>
      </c>
      <c r="H6" s="17"/>
    </row>
    <row r="7" ht="15.65">
      <c r="A7" s="17">
        <v>6</v>
      </c>
      <c r="B7" s="17"/>
      <c r="C7" s="17"/>
      <c r="D7" s="17"/>
      <c r="E7" s="17"/>
      <c r="F7" s="17"/>
      <c r="G7" s="17">
        <f t="shared" si="1"/>
        <v>0</v>
      </c>
      <c r="H7" s="17"/>
    </row>
    <row r="8" ht="15.65">
      <c r="A8" s="17">
        <v>7</v>
      </c>
      <c r="B8" s="17"/>
      <c r="C8" s="17"/>
      <c r="D8" s="17"/>
      <c r="E8" s="17"/>
      <c r="F8" s="17"/>
      <c r="G8" s="17">
        <f t="shared" si="1"/>
        <v>0</v>
      </c>
      <c r="H8" s="17"/>
    </row>
    <row r="9" ht="15.65">
      <c r="A9" s="17">
        <v>8</v>
      </c>
      <c r="B9" s="17"/>
      <c r="C9" s="17"/>
      <c r="D9" s="17"/>
      <c r="E9" s="17"/>
      <c r="F9" s="17"/>
      <c r="G9" s="17">
        <f t="shared" si="1"/>
        <v>0</v>
      </c>
      <c r="H9" s="17"/>
    </row>
    <row r="10" ht="15.65">
      <c r="A10" s="17">
        <v>9</v>
      </c>
      <c r="B10" s="17"/>
      <c r="C10" s="17"/>
      <c r="D10" s="17"/>
      <c r="E10" s="17"/>
      <c r="F10" s="17"/>
      <c r="G10" s="17">
        <f t="shared" si="1"/>
        <v>0</v>
      </c>
      <c r="H10" s="17"/>
    </row>
    <row r="11" ht="15.65">
      <c r="A11" s="17">
        <v>10</v>
      </c>
      <c r="B11" s="17"/>
      <c r="C11" s="17"/>
      <c r="D11" s="17"/>
      <c r="E11" s="17"/>
      <c r="F11" s="17"/>
      <c r="G11" s="17">
        <f t="shared" si="1"/>
        <v>0</v>
      </c>
      <c r="H11" s="17"/>
    </row>
    <row r="12" ht="15.65">
      <c r="A12" s="17">
        <v>11</v>
      </c>
      <c r="B12" s="17"/>
      <c r="C12" s="17"/>
      <c r="D12" s="17"/>
      <c r="E12" s="17"/>
      <c r="F12" s="17"/>
      <c r="G12" s="17">
        <f t="shared" si="1"/>
        <v>0</v>
      </c>
      <c r="H12" s="17"/>
    </row>
    <row r="13" ht="15.65">
      <c r="A13" s="17">
        <v>12</v>
      </c>
      <c r="B13" s="17"/>
      <c r="C13" s="17"/>
      <c r="D13" s="17"/>
      <c r="E13" s="17"/>
      <c r="F13" s="17"/>
      <c r="G13" s="17">
        <f t="shared" si="1"/>
        <v>0</v>
      </c>
      <c r="H13" s="17"/>
    </row>
    <row r="14" ht="15.65">
      <c r="A14" s="17">
        <v>13</v>
      </c>
      <c r="B14" s="17"/>
      <c r="C14" s="17"/>
      <c r="D14" s="17"/>
      <c r="E14" s="17"/>
      <c r="F14" s="17"/>
      <c r="G14" s="17">
        <f t="shared" si="1"/>
        <v>0</v>
      </c>
      <c r="H14" s="17"/>
    </row>
    <row r="15" ht="15.65">
      <c r="A15" s="17">
        <v>14</v>
      </c>
      <c r="B15" s="17"/>
      <c r="C15" s="17"/>
      <c r="D15" s="17"/>
      <c r="E15" s="17"/>
      <c r="F15" s="17"/>
      <c r="G15" s="17">
        <f t="shared" si="1"/>
        <v>0</v>
      </c>
      <c r="H15" s="17"/>
    </row>
    <row r="16" ht="15.65">
      <c r="A16" s="17">
        <v>15</v>
      </c>
      <c r="B16" s="17"/>
      <c r="C16" s="17"/>
      <c r="D16" s="17"/>
      <c r="E16" s="17"/>
      <c r="F16" s="17"/>
      <c r="G16" s="17">
        <f t="shared" si="1"/>
        <v>0</v>
      </c>
      <c r="H16" s="17"/>
    </row>
    <row r="17" ht="15.65">
      <c r="A17" s="17">
        <v>16</v>
      </c>
      <c r="B17" s="17"/>
      <c r="C17" s="17"/>
      <c r="D17" s="17"/>
      <c r="E17" s="17"/>
      <c r="F17" s="17"/>
      <c r="G17" s="17">
        <f t="shared" si="1"/>
        <v>0</v>
      </c>
      <c r="H17" s="17"/>
    </row>
    <row r="18" ht="15.65">
      <c r="A18" s="17">
        <v>17</v>
      </c>
      <c r="B18" s="17"/>
      <c r="C18" s="17"/>
      <c r="D18" s="17"/>
      <c r="E18" s="17"/>
      <c r="F18" s="17"/>
      <c r="G18" s="17">
        <f t="shared" si="1"/>
        <v>0</v>
      </c>
      <c r="H18" s="17"/>
    </row>
    <row r="19" ht="15.65">
      <c r="A19" s="17">
        <v>18</v>
      </c>
      <c r="B19" s="17"/>
      <c r="C19" s="17"/>
      <c r="D19" s="17"/>
      <c r="E19" s="17"/>
      <c r="F19" s="17"/>
      <c r="G19" s="17">
        <f t="shared" si="1"/>
        <v>0</v>
      </c>
      <c r="H19" s="17"/>
    </row>
    <row r="20" ht="15.65">
      <c r="A20" s="17">
        <v>19</v>
      </c>
      <c r="B20" s="17"/>
      <c r="C20" s="17"/>
      <c r="D20" s="17"/>
      <c r="E20" s="17"/>
      <c r="F20" s="17"/>
      <c r="G20" s="17">
        <f t="shared" si="1"/>
        <v>0</v>
      </c>
      <c r="H20" s="17"/>
    </row>
    <row r="21" ht="15.65">
      <c r="A21" s="17">
        <v>20</v>
      </c>
      <c r="B21" s="17"/>
      <c r="C21" s="17"/>
      <c r="D21" s="17"/>
      <c r="E21" s="17"/>
      <c r="F21" s="17"/>
      <c r="G21" s="17">
        <f t="shared" si="1"/>
        <v>0</v>
      </c>
      <c r="H21" s="17"/>
    </row>
    <row r="22" ht="15.65">
      <c r="A22" s="20"/>
      <c r="B22" s="20"/>
      <c r="C22" s="20"/>
      <c r="D22" s="20"/>
      <c r="E22" s="20"/>
      <c r="F22" s="20"/>
      <c r="G22" s="20"/>
      <c r="H22" s="20"/>
    </row>
    <row r="23" ht="15.65">
      <c r="A23" s="20"/>
      <c r="B23" s="20"/>
      <c r="C23" s="20"/>
      <c r="D23" s="20"/>
      <c r="E23" s="20"/>
      <c r="F23" s="20"/>
      <c r="G23" s="20"/>
      <c r="H23" s="20"/>
    </row>
    <row r="24" ht="16.300000000000001">
      <c r="A24" s="20"/>
      <c r="B24" s="20"/>
      <c r="C24" s="20"/>
      <c r="D24" s="20"/>
      <c r="E24" s="20"/>
      <c r="F24" s="20"/>
      <c r="G24" s="20"/>
      <c r="H24" s="20"/>
    </row>
    <row r="25" ht="16.300000000000001">
      <c r="A25" s="20"/>
      <c r="B25" s="92" t="s">
        <v>104</v>
      </c>
      <c r="C25" s="93" t="s">
        <v>105</v>
      </c>
      <c r="D25" s="20"/>
      <c r="E25" s="20"/>
      <c r="F25" s="20"/>
      <c r="G25" s="20"/>
      <c r="H25" s="20"/>
    </row>
    <row r="26" ht="16.300000000000001">
      <c r="A26" s="20"/>
      <c r="B26" s="94" t="s">
        <v>106</v>
      </c>
      <c r="C26" s="95">
        <v>0.050000000000000003</v>
      </c>
      <c r="D26" s="20"/>
      <c r="E26" s="20"/>
      <c r="F26" s="20"/>
      <c r="G26" s="20"/>
      <c r="H26" s="20"/>
    </row>
    <row r="27" ht="16.300000000000001">
      <c r="A27" s="20"/>
      <c r="B27" s="94" t="s">
        <v>107</v>
      </c>
      <c r="C27" s="95">
        <v>0.10000000000000001</v>
      </c>
      <c r="D27" s="20"/>
      <c r="E27" s="20"/>
      <c r="F27" s="20"/>
      <c r="G27" s="20"/>
      <c r="H27" s="20"/>
    </row>
    <row r="28" ht="16.300000000000001">
      <c r="A28" s="20"/>
      <c r="B28" s="94" t="s">
        <v>108</v>
      </c>
      <c r="C28" s="95">
        <v>0.20000000000000001</v>
      </c>
      <c r="D28" s="20"/>
      <c r="E28" s="20"/>
      <c r="F28" s="20"/>
      <c r="G28" s="20"/>
      <c r="H28" s="20"/>
    </row>
    <row r="29" ht="15.65">
      <c r="B29" s="94" t="s">
        <v>109</v>
      </c>
      <c r="C29" s="95">
        <v>0.40000000000000002</v>
      </c>
    </row>
    <row r="30" ht="15.65">
      <c r="B30" s="94" t="s">
        <v>110</v>
      </c>
      <c r="C30" s="95">
        <v>0.80000000000000004</v>
      </c>
    </row>
    <row r="31" ht="15.65"/>
    <row r="32" ht="15.65">
      <c r="B32" s="92" t="s">
        <v>111</v>
      </c>
      <c r="C32" s="93" t="s">
        <v>105</v>
      </c>
    </row>
    <row r="33" ht="15.65">
      <c r="B33" s="94" t="s">
        <v>112</v>
      </c>
      <c r="C33" s="95">
        <v>0.10000000000000001</v>
      </c>
    </row>
    <row r="34" ht="15.65">
      <c r="B34" s="94" t="s">
        <v>113</v>
      </c>
      <c r="C34" s="95">
        <v>0.29999999999999999</v>
      </c>
    </row>
    <row r="35" ht="15.65">
      <c r="B35" s="94" t="s">
        <v>114</v>
      </c>
      <c r="C35" s="95">
        <v>0.5</v>
      </c>
    </row>
    <row r="36" ht="15.65">
      <c r="B36" s="94" t="s">
        <v>115</v>
      </c>
      <c r="C36" s="95">
        <v>0.69999999999999996</v>
      </c>
    </row>
    <row r="37" ht="15.65">
      <c r="B37" s="94" t="s">
        <v>116</v>
      </c>
      <c r="C37" s="95">
        <v>0.90000000000000002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10" activeCellId="0" sqref="C10"/>
    </sheetView>
  </sheetViews>
  <sheetFormatPr baseColWidth="8" defaultRowHeight="15.050000000000001" customHeight="1"/>
  <cols>
    <col customWidth="1" min="1" max="1" width="19.1797"/>
    <col customWidth="1" min="2" max="2" width="15.542999999999999"/>
    <col customWidth="1" min="3" max="3" width="11.9062"/>
    <col customWidth="1" min="4" max="4" width="11.363300000000001"/>
    <col customWidth="1" min="5" max="5" width="10.363300000000001"/>
    <col customWidth="1" min="6" max="6" width="10.6328"/>
    <col customWidth="1" min="8" max="8" width="8.7265599999999992"/>
    <col customWidth="1" min="12" max="12" width="12.269500000000001"/>
    <col customWidth="1" min="13" max="13" width="6.3632799999999996"/>
    <col customWidth="1" min="14" max="14" width="29.6328"/>
  </cols>
  <sheetData>
    <row r="1" ht="156.55000000000001">
      <c r="A1" s="17" t="s">
        <v>117</v>
      </c>
      <c r="B1" s="17" t="s">
        <v>118</v>
      </c>
      <c r="C1" s="17" t="s">
        <v>119</v>
      </c>
      <c r="D1" s="17" t="s">
        <v>120</v>
      </c>
      <c r="E1" s="17" t="s">
        <v>121</v>
      </c>
      <c r="F1" s="17" t="s">
        <v>122</v>
      </c>
      <c r="G1" s="17" t="s">
        <v>123</v>
      </c>
      <c r="H1" s="17" t="s">
        <v>124</v>
      </c>
      <c r="I1" s="17" t="s">
        <v>125</v>
      </c>
      <c r="J1" s="17" t="s">
        <v>126</v>
      </c>
      <c r="K1" s="17" t="s">
        <v>127</v>
      </c>
      <c r="L1" s="17" t="s">
        <v>128</v>
      </c>
      <c r="M1" s="20"/>
      <c r="N1" s="96" t="s">
        <v>129</v>
      </c>
    </row>
    <row r="2" ht="15.65">
      <c r="A2" s="17" t="s">
        <v>130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20"/>
      <c r="N2" s="97"/>
    </row>
    <row r="3" ht="15.65">
      <c r="A3" s="17" t="s">
        <v>131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20"/>
      <c r="N3" s="97"/>
    </row>
    <row r="4" ht="15.65">
      <c r="A4" s="17" t="s">
        <v>132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20"/>
      <c r="N4" s="97"/>
    </row>
    <row r="5" ht="15.65">
      <c r="A5" s="17" t="s">
        <v>133</v>
      </c>
      <c r="B5" s="98" t="s">
        <v>134</v>
      </c>
      <c r="C5" s="98" t="s">
        <v>135</v>
      </c>
      <c r="D5" s="98" t="s">
        <v>136</v>
      </c>
      <c r="E5" s="98" t="s">
        <v>136</v>
      </c>
      <c r="F5" s="98"/>
      <c r="G5" s="98" t="s">
        <v>135</v>
      </c>
      <c r="H5" s="98" t="s">
        <v>136</v>
      </c>
      <c r="I5" s="98" t="s">
        <v>135</v>
      </c>
      <c r="J5" s="98" t="s">
        <v>135</v>
      </c>
      <c r="K5" s="98" t="s">
        <v>135</v>
      </c>
      <c r="L5" s="98" t="s">
        <v>137</v>
      </c>
      <c r="M5" s="20"/>
      <c r="N5" s="97"/>
    </row>
    <row r="6" ht="15.65">
      <c r="A6" s="17" t="s">
        <v>138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99"/>
    </row>
    <row r="7" ht="15.05000000000000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99"/>
    </row>
    <row r="8" ht="15.05000000000000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99"/>
    </row>
    <row r="9" ht="15.05000000000000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9"/>
    </row>
    <row r="10" ht="15.050000000000001">
      <c r="N10" s="99"/>
    </row>
    <row r="11" ht="15.050000000000001">
      <c r="N11" s="99"/>
    </row>
    <row r="12" ht="15.050000000000001">
      <c r="N12" s="99"/>
    </row>
    <row r="13" ht="15.050000000000001">
      <c r="N13" s="99"/>
    </row>
    <row r="14" ht="15.050000000000001">
      <c r="N14" s="9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3" zoomScale="100" workbookViewId="0">
      <selection activeCell="D14" activeCellId="0" sqref="D14"/>
    </sheetView>
  </sheetViews>
  <sheetFormatPr baseColWidth="8" defaultRowHeight="15.050000000000001" customHeight="1"/>
  <cols>
    <col bestFit="1" customWidth="1" min="1" max="1" width="37.56640625"/>
    <col customWidth="1" min="2" max="2" width="20.99609375"/>
    <col bestFit="1" customWidth="1" min="3" max="3" width="21.14453125"/>
    <col customWidth="1" min="4" max="4" width="12.453099999999999"/>
  </cols>
  <sheetData>
    <row r="1" ht="15.65">
      <c r="A1" s="100" t="s">
        <v>139</v>
      </c>
      <c r="B1" s="101" t="s">
        <v>140</v>
      </c>
    </row>
    <row r="2" ht="15.65">
      <c r="A2" s="100" t="s">
        <v>141</v>
      </c>
      <c r="B2" s="101" t="s">
        <v>142</v>
      </c>
    </row>
    <row r="3" ht="30">
      <c r="A3" s="102" t="s">
        <v>143</v>
      </c>
      <c r="B3" s="103"/>
    </row>
    <row r="4" ht="90">
      <c r="A4" s="104" t="s">
        <v>144</v>
      </c>
      <c r="B4" s="104" t="s">
        <v>145</v>
      </c>
    </row>
    <row r="5" ht="120">
      <c r="A5" s="104" t="s">
        <v>146</v>
      </c>
      <c r="B5" s="104" t="s">
        <v>147</v>
      </c>
    </row>
    <row r="6" ht="120">
      <c r="A6" s="104" t="s">
        <v>148</v>
      </c>
      <c r="B6" s="104" t="s">
        <v>149</v>
      </c>
    </row>
    <row r="7" ht="90">
      <c r="A7" s="104" t="s">
        <v>150</v>
      </c>
      <c r="B7" s="104" t="s">
        <v>151</v>
      </c>
    </row>
    <row r="8" ht="60">
      <c r="A8" s="104" t="s">
        <v>152</v>
      </c>
      <c r="B8" s="104" t="s">
        <v>153</v>
      </c>
    </row>
    <row r="9" ht="90">
      <c r="A9" s="104" t="s">
        <v>154</v>
      </c>
      <c r="B9" s="104" t="s">
        <v>155</v>
      </c>
    </row>
    <row r="10" ht="105">
      <c r="A10" s="104" t="s">
        <v>156</v>
      </c>
      <c r="B10" s="104" t="s">
        <v>157</v>
      </c>
    </row>
    <row r="11" ht="90">
      <c r="A11" s="104" t="s">
        <v>144</v>
      </c>
      <c r="B11" s="104" t="s">
        <v>145</v>
      </c>
    </row>
    <row r="12" ht="15.65">
      <c r="A12" s="100" t="s">
        <v>158</v>
      </c>
      <c r="B12" s="101" t="s">
        <v>159</v>
      </c>
    </row>
    <row r="13" ht="15.65"/>
    <row r="14" s="105" customFormat="1">
      <c r="A14" s="106" t="s">
        <v>160</v>
      </c>
      <c r="B14" s="105"/>
      <c r="C14" s="105"/>
      <c r="D14" s="105"/>
      <c r="E14" s="105"/>
    </row>
    <row r="15" ht="60">
      <c r="A15" s="104">
        <v>1</v>
      </c>
      <c r="B15" s="104" t="s">
        <v>161</v>
      </c>
      <c r="C15" s="104" t="s">
        <v>162</v>
      </c>
      <c r="D15" s="104" t="s">
        <v>163</v>
      </c>
    </row>
    <row r="16" ht="45">
      <c r="A16" s="104">
        <v>2</v>
      </c>
      <c r="B16" s="104" t="s">
        <v>164</v>
      </c>
      <c r="C16" s="104" t="s">
        <v>165</v>
      </c>
      <c r="D16" s="104" t="s">
        <v>166</v>
      </c>
    </row>
    <row r="17" ht="60">
      <c r="A17" s="104">
        <v>3</v>
      </c>
      <c r="B17" s="104" t="s">
        <v>167</v>
      </c>
      <c r="C17" s="104" t="s">
        <v>168</v>
      </c>
      <c r="D17" s="104" t="s">
        <v>169</v>
      </c>
    </row>
    <row r="18" ht="60">
      <c r="A18" s="104">
        <v>4</v>
      </c>
      <c r="B18" s="104" t="s">
        <v>170</v>
      </c>
      <c r="C18" s="104" t="s">
        <v>171</v>
      </c>
      <c r="D18" s="104" t="s">
        <v>172</v>
      </c>
    </row>
    <row r="19" ht="45">
      <c r="A19" s="104">
        <v>5</v>
      </c>
      <c r="B19" s="104" t="s">
        <v>173</v>
      </c>
      <c r="C19" s="104" t="s">
        <v>174</v>
      </c>
      <c r="D19" s="104" t="s">
        <v>175</v>
      </c>
    </row>
    <row r="20" ht="30" customHeight="1">
      <c r="A20" s="104">
        <v>6</v>
      </c>
      <c r="B20" s="104" t="s">
        <v>176</v>
      </c>
      <c r="C20" s="104" t="s">
        <v>177</v>
      </c>
      <c r="D20" s="104" t="s">
        <v>178</v>
      </c>
    </row>
    <row r="21" ht="46.5" customHeight="1">
      <c r="A21" s="104">
        <v>7</v>
      </c>
      <c r="B21" s="104" t="s">
        <v>179</v>
      </c>
      <c r="C21" s="104" t="s">
        <v>180</v>
      </c>
      <c r="D21" s="104" t="s">
        <v>181</v>
      </c>
    </row>
    <row r="22" ht="45.75" customHeight="1">
      <c r="A22" s="104">
        <v>8</v>
      </c>
      <c r="B22" s="104" t="s">
        <v>182</v>
      </c>
      <c r="C22" s="104" t="s">
        <v>183</v>
      </c>
      <c r="D22" s="104" t="s">
        <v>184</v>
      </c>
    </row>
    <row r="25" ht="15.050000000000001" customHeight="1">
      <c r="A25" s="107" t="s">
        <v>185</v>
      </c>
    </row>
    <row r="26" ht="15.050000000000001" customHeight="1">
      <c r="A26" s="108" t="s">
        <v>23</v>
      </c>
      <c r="B26" s="108" t="s">
        <v>24</v>
      </c>
      <c r="C26" s="108" t="s">
        <v>186</v>
      </c>
      <c r="D26" s="108" t="s">
        <v>187</v>
      </c>
    </row>
    <row r="27" ht="15.050000000000001" customHeight="1">
      <c r="A27" s="104">
        <v>1</v>
      </c>
      <c r="B27" s="104" t="s">
        <v>188</v>
      </c>
      <c r="C27" s="109">
        <v>46126</v>
      </c>
      <c r="D27" s="109">
        <v>46130</v>
      </c>
    </row>
    <row r="28" ht="15.050000000000001" customHeight="1">
      <c r="A28" s="104">
        <v>2</v>
      </c>
      <c r="B28" s="104" t="s">
        <v>189</v>
      </c>
      <c r="C28" s="109">
        <v>46147</v>
      </c>
      <c r="D28" s="109">
        <v>46193</v>
      </c>
    </row>
    <row r="29" ht="26.25" customHeight="1">
      <c r="A29" s="104">
        <v>3</v>
      </c>
      <c r="B29" s="104" t="s">
        <v>190</v>
      </c>
      <c r="C29" s="109">
        <v>46147</v>
      </c>
      <c r="D29" s="109">
        <v>46193</v>
      </c>
    </row>
    <row r="30" ht="39" customHeight="1">
      <c r="A30" s="104">
        <v>4</v>
      </c>
      <c r="B30" s="104" t="s">
        <v>191</v>
      </c>
      <c r="C30" s="109">
        <v>46154</v>
      </c>
      <c r="D30" s="109">
        <v>46160</v>
      </c>
    </row>
    <row r="31" ht="33.75" customHeight="1">
      <c r="A31" s="104">
        <v>5</v>
      </c>
      <c r="B31" s="104" t="s">
        <v>192</v>
      </c>
      <c r="C31" s="109">
        <v>46162</v>
      </c>
      <c r="D31" s="109">
        <v>46197</v>
      </c>
    </row>
    <row r="32" ht="49.5" customHeight="1">
      <c r="A32" s="104">
        <v>6</v>
      </c>
      <c r="B32" s="104" t="s">
        <v>166</v>
      </c>
      <c r="C32" s="109">
        <v>46183</v>
      </c>
      <c r="D32" s="109">
        <v>46199</v>
      </c>
    </row>
    <row r="33" ht="36.75" customHeight="1">
      <c r="A33" s="104">
        <v>7</v>
      </c>
      <c r="B33" s="104" t="s">
        <v>193</v>
      </c>
      <c r="C33" s="109">
        <v>46188</v>
      </c>
      <c r="D33" s="109">
        <v>46195</v>
      </c>
    </row>
    <row r="34" ht="36.75" customHeight="1">
      <c r="A34" s="104">
        <v>8</v>
      </c>
      <c r="B34" s="104" t="s">
        <v>194</v>
      </c>
      <c r="C34" s="109">
        <v>46174</v>
      </c>
      <c r="D34" s="109">
        <v>46191</v>
      </c>
    </row>
    <row r="35" ht="36.75" customHeight="1">
      <c r="A35" s="104">
        <v>9</v>
      </c>
      <c r="B35" s="104" t="s">
        <v>195</v>
      </c>
      <c r="C35" s="109">
        <v>46195</v>
      </c>
      <c r="D35" s="109">
        <v>46200</v>
      </c>
    </row>
    <row r="36" ht="30.75" customHeight="1">
      <c r="A36" s="104">
        <v>10</v>
      </c>
      <c r="B36" s="104" t="s">
        <v>196</v>
      </c>
      <c r="C36" s="109">
        <v>46201</v>
      </c>
      <c r="D36" s="109">
        <v>46203</v>
      </c>
    </row>
    <row r="37" ht="15.050000000000001" customHeight="1">
      <c r="C37" s="26"/>
    </row>
    <row r="38" ht="15.050000000000001" customHeight="1">
      <c r="A38" s="110" t="s">
        <v>197</v>
      </c>
      <c r="B38" s="110"/>
    </row>
    <row r="39" ht="32.25" customHeight="1">
      <c r="A39" s="111" t="s">
        <v>23</v>
      </c>
      <c r="B39" s="111" t="s">
        <v>198</v>
      </c>
    </row>
    <row r="40" ht="34.5" customHeight="1">
      <c r="A40" s="104">
        <v>1</v>
      </c>
      <c r="B40" s="104" t="s">
        <v>199</v>
      </c>
    </row>
    <row r="41" ht="27.75" customHeight="1">
      <c r="A41" s="104">
        <v>2</v>
      </c>
      <c r="B41" s="104" t="s">
        <v>200</v>
      </c>
    </row>
    <row r="42" ht="56.25" customHeight="1">
      <c r="A42" s="104">
        <v>3</v>
      </c>
      <c r="B42" s="104" t="s">
        <v>201</v>
      </c>
    </row>
    <row r="43" ht="40.5" customHeight="1">
      <c r="A43" s="104">
        <v>4</v>
      </c>
      <c r="B43" s="104" t="s">
        <v>202</v>
      </c>
    </row>
    <row r="44" ht="43.5" customHeight="1">
      <c r="A44" s="104">
        <v>5</v>
      </c>
      <c r="B44" s="104" t="s">
        <v>203</v>
      </c>
    </row>
    <row r="45" ht="39" customHeight="1">
      <c r="A45" s="104">
        <v>6</v>
      </c>
      <c r="B45" s="104" t="s">
        <v>178</v>
      </c>
    </row>
    <row r="46" ht="33" customHeight="1">
      <c r="A46" s="104">
        <v>7</v>
      </c>
      <c r="B46" s="104" t="s">
        <v>181</v>
      </c>
    </row>
    <row r="47" ht="33.75" customHeight="1">
      <c r="A47" s="104">
        <v>8</v>
      </c>
      <c r="B47" s="104" t="s">
        <v>195</v>
      </c>
    </row>
    <row r="48" ht="33" customHeight="1">
      <c r="A48" s="104">
        <v>9</v>
      </c>
      <c r="B48" s="104" t="s">
        <v>204</v>
      </c>
    </row>
    <row r="49" ht="31.5" customHeight="1">
      <c r="A49" s="104">
        <v>10</v>
      </c>
      <c r="B49" s="104" t="s">
        <v>205</v>
      </c>
    </row>
    <row r="61" ht="40.5" customHeight="1"/>
    <row r="62" ht="37.5" customHeight="1"/>
    <row r="63" ht="51" customHeight="1"/>
    <row r="64" ht="41.2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3" activeCellId="0" sqref="A23"/>
    </sheetView>
  </sheetViews>
  <sheetFormatPr baseColWidth="8" defaultRowHeight="15.050000000000001" customHeight="1"/>
  <cols>
    <col customWidth="1" min="1" max="1" width="4.4531200000000002"/>
    <col customWidth="1" min="2" max="2" width="31.906199999999998"/>
    <col customWidth="1" min="3" max="3" width="24.1797"/>
    <col customWidth="1" min="4" max="4" width="21.906199999999998"/>
    <col customWidth="1" min="5" max="5" width="33.542999999999999"/>
  </cols>
  <sheetData>
    <row r="1" ht="15.65">
      <c r="A1" s="110" t="s">
        <v>206</v>
      </c>
    </row>
    <row r="2" ht="24">
      <c r="A2" s="112" t="s">
        <v>56</v>
      </c>
      <c r="B2" s="112" t="s">
        <v>207</v>
      </c>
      <c r="C2" s="112" t="s">
        <v>208</v>
      </c>
      <c r="D2" s="112" t="s">
        <v>209</v>
      </c>
      <c r="E2" s="112" t="s">
        <v>210</v>
      </c>
    </row>
    <row r="3" ht="45">
      <c r="A3" s="104">
        <v>1</v>
      </c>
      <c r="B3" s="104" t="s">
        <v>211</v>
      </c>
      <c r="C3" s="104" t="s">
        <v>212</v>
      </c>
      <c r="D3" s="104" t="s">
        <v>213</v>
      </c>
      <c r="E3" s="104" t="s">
        <v>214</v>
      </c>
    </row>
    <row r="4" s="99" customFormat="1" ht="30">
      <c r="A4" s="104">
        <v>2</v>
      </c>
      <c r="B4" s="104" t="s">
        <v>215</v>
      </c>
      <c r="C4" s="104" t="s">
        <v>216</v>
      </c>
      <c r="D4" s="104" t="s">
        <v>217</v>
      </c>
      <c r="E4" s="104" t="s">
        <v>218</v>
      </c>
    </row>
    <row r="5" ht="30">
      <c r="A5" s="104">
        <v>3</v>
      </c>
      <c r="B5" s="104" t="s">
        <v>219</v>
      </c>
      <c r="C5" s="104" t="s">
        <v>220</v>
      </c>
      <c r="D5" s="104" t="s">
        <v>221</v>
      </c>
      <c r="E5" s="104" t="s">
        <v>222</v>
      </c>
    </row>
    <row r="6" ht="25.5" customHeight="1">
      <c r="A6" s="104">
        <v>4</v>
      </c>
      <c r="B6" s="104" t="s">
        <v>223</v>
      </c>
      <c r="C6" s="104" t="s">
        <v>224</v>
      </c>
      <c r="D6" s="104" t="s">
        <v>225</v>
      </c>
      <c r="E6" s="104" t="s">
        <v>226</v>
      </c>
    </row>
    <row r="7" s="105" customFormat="1" ht="45">
      <c r="A7" s="104">
        <v>5</v>
      </c>
      <c r="B7" s="104" t="s">
        <v>227</v>
      </c>
      <c r="C7" s="104" t="s">
        <v>228</v>
      </c>
      <c r="D7" s="104" t="s">
        <v>229</v>
      </c>
      <c r="E7" s="104" t="s">
        <v>230</v>
      </c>
    </row>
    <row r="8" ht="30">
      <c r="A8" s="104">
        <v>6</v>
      </c>
      <c r="B8" s="104" t="s">
        <v>231</v>
      </c>
      <c r="C8" s="104" t="s">
        <v>232</v>
      </c>
      <c r="D8" s="104" t="s">
        <v>233</v>
      </c>
      <c r="E8" s="104" t="s">
        <v>234</v>
      </c>
    </row>
    <row r="9" ht="30">
      <c r="A9" s="104">
        <v>7</v>
      </c>
      <c r="B9" s="104" t="s">
        <v>235</v>
      </c>
      <c r="C9" s="104" t="s">
        <v>236</v>
      </c>
      <c r="D9" s="104" t="s">
        <v>237</v>
      </c>
      <c r="E9" s="104" t="s">
        <v>238</v>
      </c>
    </row>
    <row r="10" ht="30">
      <c r="A10" s="104">
        <v>8</v>
      </c>
      <c r="B10" s="104" t="s">
        <v>239</v>
      </c>
      <c r="C10" s="104" t="s">
        <v>240</v>
      </c>
      <c r="D10" s="104" t="s">
        <v>241</v>
      </c>
      <c r="E10" s="104" t="s">
        <v>242</v>
      </c>
    </row>
    <row r="11" ht="45">
      <c r="A11" s="104">
        <v>9</v>
      </c>
      <c r="B11" s="104" t="s">
        <v>243</v>
      </c>
      <c r="C11" s="104" t="s">
        <v>244</v>
      </c>
      <c r="D11" s="104" t="s">
        <v>245</v>
      </c>
      <c r="E11" s="104" t="s">
        <v>246</v>
      </c>
    </row>
    <row r="12" ht="30">
      <c r="A12" s="104">
        <v>10</v>
      </c>
      <c r="B12" s="104" t="s">
        <v>247</v>
      </c>
      <c r="C12" s="104" t="s">
        <v>248</v>
      </c>
      <c r="D12" s="104" t="s">
        <v>249</v>
      </c>
      <c r="E12" s="104" t="s">
        <v>250</v>
      </c>
    </row>
    <row r="13" ht="15.050000000000001"/>
    <row r="14" ht="15.050000000000001">
      <c r="A14" s="110" t="s">
        <v>251</v>
      </c>
    </row>
    <row r="15" ht="24">
      <c r="A15" s="113" t="s">
        <v>56</v>
      </c>
      <c r="B15" s="113" t="s">
        <v>252</v>
      </c>
      <c r="C15" s="113" t="s">
        <v>253</v>
      </c>
      <c r="D15" s="113" t="s">
        <v>210</v>
      </c>
    </row>
    <row r="16" ht="45">
      <c r="A16" s="104">
        <v>1</v>
      </c>
      <c r="B16" s="104" t="s">
        <v>254</v>
      </c>
      <c r="C16" s="104" t="s">
        <v>255</v>
      </c>
      <c r="D16" s="104" t="s">
        <v>256</v>
      </c>
    </row>
    <row r="17" s="110" customFormat="1" ht="45">
      <c r="A17" s="104">
        <v>2</v>
      </c>
      <c r="B17" s="104" t="s">
        <v>254</v>
      </c>
      <c r="C17" s="104" t="s">
        <v>257</v>
      </c>
      <c r="D17" s="104" t="s">
        <v>258</v>
      </c>
    </row>
    <row r="18" ht="30">
      <c r="A18" s="104">
        <v>3</v>
      </c>
      <c r="B18" s="104" t="s">
        <v>254</v>
      </c>
      <c r="C18" s="104" t="s">
        <v>259</v>
      </c>
      <c r="D18" s="104" t="s">
        <v>260</v>
      </c>
    </row>
    <row r="19" ht="30">
      <c r="A19" s="104">
        <v>4</v>
      </c>
      <c r="B19" s="104" t="s">
        <v>261</v>
      </c>
      <c r="C19" s="104" t="s">
        <v>262</v>
      </c>
      <c r="D19" s="104" t="s">
        <v>263</v>
      </c>
    </row>
    <row r="20" ht="30">
      <c r="A20" s="104">
        <v>5</v>
      </c>
      <c r="B20" s="104" t="s">
        <v>261</v>
      </c>
      <c r="C20" s="104" t="s">
        <v>264</v>
      </c>
      <c r="D20" s="104" t="s">
        <v>265</v>
      </c>
    </row>
    <row r="21" ht="45">
      <c r="A21" s="104">
        <v>6</v>
      </c>
      <c r="B21" s="104" t="s">
        <v>266</v>
      </c>
      <c r="C21" s="104" t="s">
        <v>267</v>
      </c>
      <c r="D21" s="104" t="s">
        <v>268</v>
      </c>
    </row>
    <row r="22" ht="29.25" customHeight="1">
      <c r="A22" s="104">
        <v>7</v>
      </c>
      <c r="B22" s="104" t="s">
        <v>269</v>
      </c>
      <c r="C22" s="104" t="s">
        <v>270</v>
      </c>
      <c r="D22" s="104" t="s">
        <v>271</v>
      </c>
    </row>
    <row r="23" s="105" customFormat="1" ht="30">
      <c r="A23" s="104">
        <v>8</v>
      </c>
      <c r="B23" s="104" t="s">
        <v>272</v>
      </c>
      <c r="C23" s="104" t="s">
        <v>273</v>
      </c>
      <c r="D23" s="104" t="s">
        <v>274</v>
      </c>
    </row>
    <row r="24" s="114" customFormat="1" ht="30">
      <c r="A24" s="104">
        <v>9</v>
      </c>
      <c r="B24" s="104" t="s">
        <v>272</v>
      </c>
      <c r="C24" s="104" t="s">
        <v>275</v>
      </c>
      <c r="D24" s="104" t="s">
        <v>276</v>
      </c>
    </row>
    <row r="25" ht="45">
      <c r="A25" s="104">
        <v>10</v>
      </c>
      <c r="B25" s="104" t="s">
        <v>272</v>
      </c>
      <c r="C25" s="104" t="s">
        <v>277</v>
      </c>
      <c r="D25" s="104" t="s">
        <v>278</v>
      </c>
    </row>
    <row r="26" ht="15.050000000000001"/>
    <row r="27" ht="15.050000000000001">
      <c r="A27" s="110" t="s">
        <v>199</v>
      </c>
    </row>
    <row r="28" ht="30" customHeight="1">
      <c r="A28" s="115" t="s">
        <v>56</v>
      </c>
      <c r="B28" s="115" t="s">
        <v>207</v>
      </c>
      <c r="C28" s="115" t="s">
        <v>279</v>
      </c>
      <c r="D28" s="115" t="s">
        <v>280</v>
      </c>
    </row>
    <row r="29" ht="15.050000000000001" customHeight="1">
      <c r="A29" s="104">
        <v>1</v>
      </c>
      <c r="B29" s="104" t="s">
        <v>211</v>
      </c>
      <c r="C29" s="104" t="s">
        <v>281</v>
      </c>
      <c r="D29" s="104" t="s">
        <v>282</v>
      </c>
    </row>
    <row r="30" ht="15.050000000000001" customHeight="1">
      <c r="A30" s="104">
        <v>2</v>
      </c>
      <c r="B30" s="104" t="s">
        <v>215</v>
      </c>
      <c r="C30" s="104" t="s">
        <v>281</v>
      </c>
      <c r="D30" s="104" t="s">
        <v>282</v>
      </c>
    </row>
    <row r="31" ht="33" customHeight="1">
      <c r="A31" s="104">
        <v>3</v>
      </c>
      <c r="B31" s="104" t="s">
        <v>219</v>
      </c>
      <c r="C31" s="104" t="s">
        <v>281</v>
      </c>
      <c r="D31" s="104" t="s">
        <v>283</v>
      </c>
    </row>
    <row r="32" ht="15.050000000000001" customHeight="1">
      <c r="A32" s="104">
        <v>4</v>
      </c>
      <c r="B32" s="104" t="s">
        <v>223</v>
      </c>
      <c r="C32" s="104" t="s">
        <v>281</v>
      </c>
      <c r="D32" s="104" t="s">
        <v>282</v>
      </c>
    </row>
    <row r="33" ht="53.25" customHeight="1">
      <c r="A33" s="104">
        <v>5</v>
      </c>
      <c r="B33" s="104" t="s">
        <v>227</v>
      </c>
      <c r="C33" s="104" t="s">
        <v>281</v>
      </c>
      <c r="D33" s="104" t="s">
        <v>284</v>
      </c>
    </row>
    <row r="34" ht="15.050000000000001" customHeight="1">
      <c r="A34" s="104">
        <v>6</v>
      </c>
      <c r="B34" s="104" t="s">
        <v>231</v>
      </c>
      <c r="C34" s="104" t="s">
        <v>281</v>
      </c>
      <c r="D34" s="104" t="s">
        <v>282</v>
      </c>
    </row>
    <row r="35" ht="15.050000000000001" customHeight="1">
      <c r="A35" s="104">
        <v>7</v>
      </c>
      <c r="B35" s="104" t="s">
        <v>235</v>
      </c>
      <c r="C35" s="104" t="s">
        <v>281</v>
      </c>
      <c r="D35" s="104" t="s">
        <v>282</v>
      </c>
    </row>
    <row r="36" ht="15.050000000000001" customHeight="1">
      <c r="A36" s="104">
        <v>8</v>
      </c>
      <c r="B36" s="104" t="s">
        <v>239</v>
      </c>
      <c r="C36" s="104" t="s">
        <v>281</v>
      </c>
      <c r="D36" s="104" t="s">
        <v>282</v>
      </c>
    </row>
    <row r="37" ht="47.25" customHeight="1">
      <c r="A37" s="104">
        <v>9</v>
      </c>
      <c r="B37" s="104" t="s">
        <v>285</v>
      </c>
      <c r="C37" s="104" t="s">
        <v>281</v>
      </c>
      <c r="D37" s="104" t="s">
        <v>286</v>
      </c>
    </row>
    <row r="38" ht="36" customHeight="1">
      <c r="A38" s="104">
        <v>10</v>
      </c>
      <c r="B38" s="104" t="s">
        <v>247</v>
      </c>
      <c r="C38" s="104" t="s">
        <v>281</v>
      </c>
      <c r="D38" s="104" t="s">
        <v>287</v>
      </c>
    </row>
    <row r="40" ht="15.050000000000001" customHeight="1">
      <c r="A40" s="110" t="s">
        <v>201</v>
      </c>
    </row>
    <row r="41" ht="24" customHeight="1">
      <c r="A41" s="116" t="s">
        <v>56</v>
      </c>
      <c r="B41" s="116" t="s">
        <v>207</v>
      </c>
      <c r="C41" s="116" t="s">
        <v>288</v>
      </c>
      <c r="D41" s="116" t="s">
        <v>289</v>
      </c>
      <c r="E41" s="116" t="s">
        <v>290</v>
      </c>
    </row>
    <row r="42" ht="26.25" customHeight="1">
      <c r="A42" s="104">
        <v>1</v>
      </c>
      <c r="B42" s="104" t="s">
        <v>211</v>
      </c>
      <c r="C42" s="104" t="s">
        <v>291</v>
      </c>
      <c r="D42" s="104" t="s">
        <v>203</v>
      </c>
      <c r="E42" s="104" t="s">
        <v>292</v>
      </c>
    </row>
    <row r="43" ht="28.5" customHeight="1">
      <c r="A43" s="104">
        <v>2</v>
      </c>
      <c r="B43" s="104" t="s">
        <v>215</v>
      </c>
      <c r="C43" s="104" t="s">
        <v>293</v>
      </c>
      <c r="D43" s="104" t="s">
        <v>203</v>
      </c>
      <c r="E43" s="104" t="s">
        <v>292</v>
      </c>
    </row>
    <row r="44" ht="34.5" customHeight="1">
      <c r="A44" s="104">
        <v>3</v>
      </c>
      <c r="B44" s="104" t="s">
        <v>294</v>
      </c>
      <c r="C44" s="104" t="s">
        <v>295</v>
      </c>
      <c r="D44" s="104" t="s">
        <v>296</v>
      </c>
      <c r="E44" s="104" t="s">
        <v>292</v>
      </c>
    </row>
    <row r="45" ht="36" customHeight="1">
      <c r="A45" s="104">
        <v>4</v>
      </c>
      <c r="B45" s="104" t="s">
        <v>297</v>
      </c>
      <c r="C45" s="104" t="s">
        <v>298</v>
      </c>
      <c r="D45" s="104" t="s">
        <v>299</v>
      </c>
      <c r="E45" s="104" t="s">
        <v>292</v>
      </c>
    </row>
    <row r="46" ht="35.25" customHeight="1">
      <c r="A46" s="104">
        <v>5</v>
      </c>
      <c r="B46" s="104" t="s">
        <v>300</v>
      </c>
      <c r="C46" s="104" t="s">
        <v>301</v>
      </c>
      <c r="D46" s="104" t="s">
        <v>203</v>
      </c>
      <c r="E46" s="104" t="s">
        <v>292</v>
      </c>
    </row>
    <row r="47" ht="30" customHeight="1">
      <c r="A47" s="104">
        <v>6</v>
      </c>
      <c r="B47" s="104" t="s">
        <v>302</v>
      </c>
      <c r="C47" s="104" t="s">
        <v>303</v>
      </c>
      <c r="D47" s="104" t="s">
        <v>304</v>
      </c>
      <c r="E47" s="104" t="s">
        <v>292</v>
      </c>
    </row>
    <row r="48" ht="37.5" customHeight="1">
      <c r="A48" s="104">
        <v>7</v>
      </c>
      <c r="B48" s="104" t="s">
        <v>231</v>
      </c>
      <c r="C48" s="104" t="s">
        <v>305</v>
      </c>
      <c r="D48" s="104" t="s">
        <v>181</v>
      </c>
      <c r="E48" s="104" t="s">
        <v>292</v>
      </c>
    </row>
    <row r="49" ht="42" customHeight="1">
      <c r="A49" s="104">
        <v>8</v>
      </c>
      <c r="B49" s="104" t="s">
        <v>235</v>
      </c>
      <c r="C49" s="104" t="s">
        <v>306</v>
      </c>
      <c r="D49" s="104" t="s">
        <v>203</v>
      </c>
      <c r="E49" s="104" t="s">
        <v>292</v>
      </c>
    </row>
    <row r="50" ht="31.5" customHeight="1">
      <c r="A50" s="104">
        <v>9</v>
      </c>
      <c r="B50" s="104" t="s">
        <v>307</v>
      </c>
      <c r="C50" s="104" t="s">
        <v>308</v>
      </c>
      <c r="D50" s="104" t="s">
        <v>309</v>
      </c>
      <c r="E50" s="104" t="s">
        <v>292</v>
      </c>
    </row>
    <row r="51" ht="28.5" customHeight="1">
      <c r="A51" s="104">
        <v>10</v>
      </c>
      <c r="B51" s="104" t="s">
        <v>166</v>
      </c>
      <c r="C51" s="104" t="s">
        <v>310</v>
      </c>
      <c r="D51" s="104" t="s">
        <v>195</v>
      </c>
      <c r="E51" s="104" t="s">
        <v>292</v>
      </c>
    </row>
    <row r="52" ht="37.5" customHeight="1"/>
    <row r="53" ht="31.5" customHeight="1"/>
    <row r="54" ht="30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melzidinov_aa</dc:creator>
  <cp:revision>1</cp:revision>
  <dcterms:created xsi:type="dcterms:W3CDTF">2011-07-07T06:24:00Z</dcterms:created>
  <dcterms:modified xsi:type="dcterms:W3CDTF">2026-05-18T09:08:10Z</dcterms:modified>
  <cp:version>1048576</cp:version>
</cp:coreProperties>
</file>