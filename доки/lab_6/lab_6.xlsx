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readedComments/threadedComment4.xml" ContentType="application/vnd.ms-excel.threadedcomments+xml"/>
  <Override PartName="/docProps/core.xml" ContentType="application/vnd.openxmlformats-package.core-propertie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6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6"/>
  </bookViews>
  <sheets>
    <sheet name="Паспорт проекта" sheetId="1" state="visible" r:id="rId2"/>
    <sheet name="Подготовка данных" sheetId="2" state="visible" r:id="rId3"/>
    <sheet name="Моделирование" sheetId="3" state="visible" r:id="rId4"/>
    <sheet name="Оценка результата " sheetId="4" state="visible" r:id="rId5"/>
    <sheet name="Внедрение" sheetId="5" state="visible" r:id="rId6"/>
    <sheet name="Временные ограничения" sheetId="6" state="visible" r:id="rId7"/>
    <sheet name="Трудовые ограничения" sheetId="7" state="visible" r:id="rId8"/>
    <sheet name="Лист1" sheetId="8" state="visible" r:id="rId9"/>
    <sheet name="Технические ограничения" sheetId="9" state="visible" r:id="rId10"/>
    <sheet name="Смета (финансовые ограничения)" sheetId="10" state="visible" r:id="rId11"/>
    <sheet name="Реестр рисков" sheetId="11" state="visible" r:id="rId12"/>
    <sheet name="RACI-матрица" sheetId="12" state="visible" r:id="rId1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tc={3AAECF60-C511-EB79-8549-2CEA0DEA6E71}</author>
    <author>tc={008B0096-002F-4BB6-B692-00D2002F006B}</author>
  </authors>
  <commentList>
    <comment ref="A21" authorId="0" xr:uid="{3AAECF60-C511-EB79-8549-2CEA0DEA6E71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пречислить верхнеуровневые риски - 3-5
</t>
        </r>
      </text>
    </comment>
    <comment ref="A6" authorId="1" xr:uid="{008B0096-002F-4BB6-B692-00D2002F006B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Определяем достижение цели через количественные показатели - минимум 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tc={20CCCDD9-EC7C-F606-D4A3-A95821014B27}</author>
  </authors>
  <commentList>
    <comment ref="A1" authorId="0" xr:uid="{20CCCDD9-EC7C-F606-D4A3-A95821014B2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tc={59873D8E-AC83-C4A9-EE0E-167176948FCD}</author>
  </authors>
  <commentList>
    <comment ref="E3" authorId="0" xr:uid="{59873D8E-AC83-C4A9-EE0E-167176948FC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tc={079DEF54-F22F-7756-67A8-D357A9051819}</author>
  </authors>
  <commentList>
    <comment ref="A27" authorId="0" xr:uid="{079DEF54-F22F-7756-67A8-D357A905181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Итоговая стоимость по техническим ограничениям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tc={9DBA13F6-54AE-24C8-3D54-9DE274BD5EC5}</author>
  </authors>
  <commentList>
    <comment ref="C1" authorId="0" xr:uid="{9DBA13F6-54AE-24C8-3D54-9DE274BD5EC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почему это может произойти?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tc={8F1EE7AD-C0EB-361C-4E54-B55280C05304}</author>
    <author>tc={CE67BEAA-F6E7-B978-580A-2B7893C61786}</author>
    <author>tc={F968B835-7612-6291-F8F8-FC6D823E7EF7}</author>
    <author>tc={417785EC-4884-ACCE-72AA-0B7219B998D7}</author>
    <author>tc={6C417BF5-DE07-0698-AAF2-F8C13C1BFC5C}</author>
    <author>tc={7A2408D7-D9B4-4ABD-3B83-06D41BA8E58A}</author>
    <author>tc={F1DED64E-D08E-B5AE-C6CD-A85C8671A463}</author>
    <author>tc={7CB5543B-36F0-4F6C-C70C-074B6F2AA6B2}</author>
  </authors>
  <commentList>
    <comment ref="B5" authorId="0" xr:uid="{8F1EE7AD-C0EB-361C-4E54-B55280C05304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Получает регулярные обновления о статусе уточнения требований для корректировки планов
</t>
        </r>
      </text>
    </comment>
    <comment ref="C5" authorId="1" xr:uid="{CE67BEAA-F6E7-B978-580A-2B7893C61786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о реализуемости интерфейсных решений, предлагает прототипы для уточнения
</t>
        </r>
      </text>
    </comment>
    <comment ref="D5" authorId="2" xr:uid="{F968B835-7612-6291-F8F8-FC6D823E7EF7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Оценивает техническую реализуемость API и логики с точки зрения архитектуры
</t>
        </r>
      </text>
    </comment>
    <comment ref="E5" authorId="3" xr:uid="{417785EC-4884-ACCE-72AA-0B7219B998D7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Отвечает за полноту, непротиворечивость и формализацию требований, финализирует спецификацию
</t>
        </r>
      </text>
    </comment>
    <comment ref="F5" authorId="4" xr:uid="{6C417BF5-DE07-0698-AAF2-F8C13C1BFC5C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(Документирует требования и пользовательские сценарии на понятном для команды языке
</t>
        </r>
      </text>
    </comment>
    <comment ref="G5" authorId="5" xr:uid="{7A2408D7-D9B4-4ABD-3B83-06D41BA8E58A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по инфраструктурным требованиям и ограничениям, влияющим на развертывание
</t>
        </r>
      </text>
    </comment>
    <comment ref="H5" authorId="6" xr:uid="{F1DED64E-D08E-B5AE-C6CD-A85C8671A463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Помогает сформулировать критерии приемки, чтобы требования были тестируемыми
</t>
        </r>
      </text>
    </comment>
    <comment ref="I5" authorId="7" xr:uid="{7CB5543B-36F0-4F6C-C70C-074B6F2AA6B2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Создает интерактивные прототипы и визуализации
</t>
        </r>
      </text>
    </comment>
  </commentList>
</comments>
</file>

<file path=xl/sharedStrings.xml><?xml version="1.0" encoding="utf-8"?>
<sst xmlns="http://schemas.openxmlformats.org/spreadsheetml/2006/main" count="389" uniqueCount="389">
  <si>
    <t xml:space="preserve">Рабочее название проекта</t>
  </si>
  <si>
    <t xml:space="preserve">Онлайн-сервис ИИ-редактирования изображений с функцией переноса пользовательского стиля</t>
  </si>
  <si>
    <t xml:space="preserve">Дата создания и версия документа</t>
  </si>
  <si>
    <t xml:space="preserve">09.04.2026, версия 1.0</t>
  </si>
  <si>
    <t xml:space="preserve">Ссылка на репозиторий</t>
  </si>
  <si>
    <t xml:space="preserve">Проблема, которую решает проект</t>
  </si>
  <si>
    <t xml:space="preserve">Дизайнеры, контент-мейкеры, SMM-специалисты, небольшие интернет-магазины и продавцы на маркетплейсах. В данный момент они сталкиваются с тем, что быстро выполнить качественную стилизацию и базовое редактирование изображений в едином визуальном стиле с использованием собственных референсов затруднительно: существующие сервисы либо перегружены лишними функциями, либо ограничивают работу с пользовательским стилем, либо требуют длительной ручной обработки. Из-за этого пользователи теряют время на подготовку визуального контента, несут дополнительные затраты на ручной дизайн и не могут быстро получать готовые изображения в едином фирменном стиле.</t>
  </si>
  <si>
    <t xml:space="preserve">Цель проекта</t>
  </si>
  <si>
    <t xml:space="preserve">Разработать к 30.06.2026 MVP онлайн-сервиса ИИ-редактирования изображений с функцией переноса пользовательского стиля, который позволит сократить среднее время подготовки одного изображения не менее чем на 40% по сравнению с ручной обработкой.</t>
  </si>
  <si>
    <t xml:space="preserve">Метрики оценки эффективности</t>
  </si>
  <si>
    <t xml:space="preserve">1. Сокращение среднего времени подготовки одного изображения не менее чем на 40% по сравнению с ручной обработкой.
2. Доля успешно обработанных изображений без критических ошибок — не менее 90%.
3. Среднее время обработки одного изображения в сервисе — не более 2 минут.
4. Доля пользователей, удовлетворённых качеством результата обработки, — не менее 80% по итогам пользовательского тестирования.</t>
  </si>
  <si>
    <t xml:space="preserve">Экономическое обоснование проекта</t>
  </si>
  <si>
    <t xml:space="preserve">Внедрение онлайн-сервиса ИИ-редактирования изображений с функцией переноса пользовательского стиля позволит сократить трудозатраты на подготовку визуального контента не менее чем на 40% по сравнению с ручной обработкой, снизить расходы на рутинный дизайн и ускорить выпуск контента для маркетинга, интернет-магазинов и социальных сетей. Дополнительный эффект достигается за счет обеспечения единообразного фирменного стиля изображений без необходимости постоянного привлечения дизайнера. В случае отказа от реализации проекта сохраняются высокие временные затраты на ручную обработку изображений, возрастает риск несогласованности визуального контента и снижается скорость подготовки материалов для публикации и продаж.</t>
  </si>
  <si>
    <t xml:space="preserve">входные данные</t>
  </si>
  <si>
    <t xml:space="preserve">Оценка полноты входных данных</t>
  </si>
  <si>
    <t xml:space="preserve">выходные данные</t>
  </si>
  <si>
    <t xml:space="preserve">Функциональные задачи проекта</t>
  </si>
  <si>
    <t xml:space="preserve">Регистрация и авторизация пользователей</t>
  </si>
  <si>
    <t xml:space="preserve">Email, логин, пароль, данные учетной записи пользователя</t>
  </si>
  <si>
    <t xml:space="preserve">Данные полностью доступны, формируются пользователем; качество зависит от корректности ввода, требуется валидация email и пароля</t>
  </si>
  <si>
    <t xml:space="preserve">Созданная учетная запись пользователя, авторизованная сессия</t>
  </si>
  <si>
    <t xml:space="preserve">Загрузка исходных изображений для обработки</t>
  </si>
  <si>
    <t xml:space="preserve">Файлы изображений пользователя в форматах JPG, PNG, WEBP</t>
  </si>
  <si>
    <t xml:space="preserve">Данные доступны при загрузке пользователем; возможны ограничения по формату, размеру и качеству изображения</t>
  </si>
  <si>
    <t xml:space="preserve">Загруженное и сохраненное исходное изображение, готовое к обработке</t>
  </si>
  <si>
    <t xml:space="preserve">Загрузка набора пользовательских референсов для задания стиля</t>
  </si>
  <si>
    <t xml:space="preserve">Набор изображений-референсов, выбранных пользователем</t>
  </si>
  <si>
    <t xml:space="preserve">Полнота данных зависит от количества и качества референсов; при малом количестве или низком качестве возможна деградация результата</t>
  </si>
  <si>
    <t xml:space="preserve">Загруженный набор референсов, подготовленный для дальнейшего анализа и применения стиля</t>
  </si>
  <si>
    <t xml:space="preserve">Применение переноса стиля к загруженному изображению</t>
  </si>
  <si>
    <t xml:space="preserve">Исходное изображение, пользовательские референсы, параметры модели стилизации</t>
  </si>
  <si>
    <t xml:space="preserve">Данные частично зависят от пользователя и частично от ML-модуля; требуется достаточное качество входных изображений и корректная настройка модели</t>
  </si>
  <si>
    <t xml:space="preserve">Стилизованное изображение в заданном пользовательском стиле</t>
  </si>
  <si>
    <t xml:space="preserve">Базовое ИИ-редактирование изображений: улучшение качества, изменение размера, удаление фона</t>
  </si>
  <si>
    <t xml:space="preserve">Исходное изображение, параметры выбранной операции обработки</t>
  </si>
  <si>
    <t xml:space="preserve">Данные в целом доступны и достаточны; качество результата зависит от разрешения изображения и корректности выделения объектов</t>
  </si>
  <si>
    <t xml:space="preserve">Обработанное изображение с улучшенным качеством, измененным размером или удаленным фоном</t>
  </si>
  <si>
    <t xml:space="preserve">Предпросмотр результата до сохранения</t>
  </si>
  <si>
    <t xml:space="preserve">Полученное обработанное изображение, параметры отображения</t>
  </si>
  <si>
    <t xml:space="preserve">Данные полностью доступны после завершения обработки; ограничений по полноте практически нет</t>
  </si>
  <si>
    <t xml:space="preserve">Предпросмотр результата обработки в интерфейсе сервиса</t>
  </si>
  <si>
    <t xml:space="preserve">Сохранение и скачивание обработанных изображений</t>
  </si>
  <si>
    <t xml:space="preserve">Итоговое обработанное изображение, параметры формата и имени файла</t>
  </si>
  <si>
    <t xml:space="preserve">Данные полностью доступны при успешном завершении обработки; требуется доступное файловое хранилище</t>
  </si>
  <si>
    <t xml:space="preserve">Сохраненное изображение в системе и файл, доступный для скачивания пользователем</t>
  </si>
  <si>
    <t xml:space="preserve">Хранение истории обработок в личном кабинете пользователя</t>
  </si>
  <si>
    <t xml:space="preserve">Данные учетной записи, метаданные обработок, ссылки на исходные и итоговые файлы</t>
  </si>
  <si>
    <t xml:space="preserve">Данные формируются автоматически; полнота высокая при корректной работе БД и хранилища</t>
  </si>
  <si>
    <t xml:space="preserve">История выполненных обработок, доступная пользователю в личном кабинете</t>
  </si>
  <si>
    <t xml:space="preserve">Основные результаты проекта</t>
  </si>
  <si>
    <t xml:space="preserve">Работоспособный MVP веб-сервиса ИИ-редактирования изображений.
ML-модуль переноса пользовательского стиля и базовой обработки изображений.
Backend/API для загрузки, обработки и хранения результатов.
База данных пользователей, задач обработки и истории операций.
Пользовательская и техническая документация.
Отчет о тестировании и результатах апробации.</t>
  </si>
  <si>
    <t xml:space="preserve">  Дата начала</t>
  </si>
  <si>
    <t>14.04.2026</t>
  </si>
  <si>
    <t xml:space="preserve">Дата завершения</t>
  </si>
  <si>
    <t>30.06.2026</t>
  </si>
  <si>
    <t xml:space="preserve">Ожидаемый эффект</t>
  </si>
  <si>
    <t xml:space="preserve">Сокращение времени подготовки визуального контента не менее чем на 40%.
Снижение доли ручных рутинных операций при обработке изображений.
Обеспечение единообразного визуального стиля контента за счет использования пользовательских референсов.
Повышение доступности ИИ-инструментов обработки изображений для малых команд и индивидуальных специалистов.</t>
  </si>
  <si>
    <t xml:space="preserve">Бюджет (руб.)</t>
  </si>
  <si>
    <t xml:space="preserve">Основные риски проекта</t>
  </si>
  <si>
    <t xml:space="preserve">Технические риски: снижение качества результата обработки из-за ограничений выбранной модели или недостаточного объема обучающих данных.
Организационные риски: срыв сроков разработки из-за высокой учебной загрузки участников проекта.
Организационные риски: выбывание одного из участников команды или снижение доступности ключевого исполнителя.
Внешние риски: рост стоимости облачных вычислений и хранения данных.
Внешние риски: изменение требований к функционалу сервиса в процессе реализации.</t>
  </si>
  <si>
    <t xml:space="preserve">Источники финансирования</t>
  </si>
  <si>
    <t xml:space="preserve">Собственные средства команды.
Учебные и технические ресурсы университета.
При необходимости — бесплатные или льготные образовательные тарифы облачных сервисов и ПО.</t>
  </si>
  <si>
    <t xml:space="preserve">Лидер проекта</t>
  </si>
  <si>
    <t xml:space="preserve">[ФИО студента], руководитель проекта (Project Manager)</t>
  </si>
  <si>
    <t xml:space="preserve">ER-диаграмма данных или логическая структура данных</t>
  </si>
  <si>
    <t xml:space="preserve">Перечень алгоритмов бэкенд</t>
  </si>
  <si>
    <t>Сроки</t>
  </si>
  <si>
    <t xml:space="preserve">Алгоритм аутентификации и авторизации пользователей</t>
  </si>
  <si>
    <t xml:space="preserve">14.04.2026 – 18.04.2026</t>
  </si>
  <si>
    <t xml:space="preserve">Алгоритм загрузки, валидации и хранения исходных изображений</t>
  </si>
  <si>
    <t xml:space="preserve">19.04.2026 – 23.04.2026</t>
  </si>
  <si>
    <t xml:space="preserve">Алгоритм загрузки и обработки пользовательских референсов стиля</t>
  </si>
  <si>
    <t xml:space="preserve">24.04.2026 – 28.04.2026</t>
  </si>
  <si>
    <t xml:space="preserve">Алгоритм предварительной обработки изображений (изменение размера, нормализация, преобразование форматов)</t>
  </si>
  <si>
    <t xml:space="preserve">29.04.2026 – 04.05.2026</t>
  </si>
  <si>
    <t xml:space="preserve">Алгоритм переноса пользовательского стиля на основе генеративной модели</t>
  </si>
  <si>
    <t xml:space="preserve">05.05.2026 – 15.05.2026</t>
  </si>
  <si>
    <t xml:space="preserve">Алгоритм базового ИИ-редактирования изображений (улучшение качества, удаление фона, изменение размера)</t>
  </si>
  <si>
    <t xml:space="preserve">16.05.2026 – 24.05.2026</t>
  </si>
  <si>
    <t xml:space="preserve">Алгоритм формирования и сохранения результирующего изображения</t>
  </si>
  <si>
    <t xml:space="preserve">25.05.2026 – 28.05.2026</t>
  </si>
  <si>
    <t xml:space="preserve">Алгоритм ведения истории обработок и хранения метаданных в личном кабинете</t>
  </si>
  <si>
    <t xml:space="preserve">29.05.2026 – 02.06.2026</t>
  </si>
  <si>
    <t xml:space="preserve">Алгоритм взаимодействия backend с ML-модулем через API/внутренние сервисы</t>
  </si>
  <si>
    <t xml:space="preserve">03.06.2026 – 10.06.2026</t>
  </si>
  <si>
    <t xml:space="preserve">Алгоритм обработки ошибок, логирования и контроля статусов выполнения задач</t>
  </si>
  <si>
    <t xml:space="preserve">11.06.2026 – 17.06.2026</t>
  </si>
  <si>
    <t xml:space="preserve">Интеграционное тестирование и настройка последовательности выполнения backend-процессов</t>
  </si>
  <si>
    <t xml:space="preserve">18.06.2026 – 24.06.2026</t>
  </si>
  <si>
    <t xml:space="preserve">Финальная отладка и подготовка backend-части к внедрению</t>
  </si>
  <si>
    <t xml:space="preserve">25.06.2026 – 30.06.2026</t>
  </si>
  <si>
    <t>№</t>
  </si>
  <si>
    <t>Мероприятие</t>
  </si>
  <si>
    <t>Срок</t>
  </si>
  <si>
    <t xml:space="preserve">Проверка корректности загрузки и обработки входных изображений различных форматов</t>
  </si>
  <si>
    <t xml:space="preserve">18.06.2026 – 19.06.2026</t>
  </si>
  <si>
    <t xml:space="preserve">Тестирование корректности применения пользовательских референсов стиля</t>
  </si>
  <si>
    <t xml:space="preserve">20.06.2026 – 21.06.2026</t>
  </si>
  <si>
    <t xml:space="preserve">Проверка качества базового ИИ-редактирования изображений (улучшение качества, изменение размера, удаление фона)</t>
  </si>
  <si>
    <t xml:space="preserve">22.06.2026 – 23.06.2026</t>
  </si>
  <si>
    <t xml:space="preserve">Проверка устойчивости сервиса при некорректных входных данных и ошибках пользователя</t>
  </si>
  <si>
    <t xml:space="preserve">24.06.2026 – 25.06.2026</t>
  </si>
  <si>
    <t xml:space="preserve">Сравнение времени обработки изображения с ручной обработкой и оценка достижения целевых метрик</t>
  </si>
  <si>
    <t xml:space="preserve">26.06.2026 – 27.06.2026</t>
  </si>
  <si>
    <t xml:space="preserve">Приемочное пользовательское тестирование интерфейса и качества результатов обработки</t>
  </si>
  <si>
    <t xml:space="preserve">28.06.2026 – 29.06.2026</t>
  </si>
  <si>
    <t xml:space="preserve">Формирование итогового заключения о соответствии решения бизнес-целям проекта</t>
  </si>
  <si>
    <t xml:space="preserve">Подготовка серверной инфраструктуры для размещения backend, ML-модуля и хранилища изображений</t>
  </si>
  <si>
    <t xml:space="preserve">Развертывание backend/API и настройка взаимодействия с ML-модулем обработки изображений</t>
  </si>
  <si>
    <t xml:space="preserve">Настройка интерфейсов загрузки изображений, передачи параметров обработки и выдачи результата пользователю</t>
  </si>
  <si>
    <t xml:space="preserve">Настройка хранения пользовательских данных, истории обработок и результирующих файлов</t>
  </si>
  <si>
    <t xml:space="preserve">Подготовка эксплуатационной документации: руководство пользователя, описание API, инструкция по сопровождению сервиса</t>
  </si>
  <si>
    <t xml:space="preserve">Проведение финальной проверки работоспособности сервиса в целевой среде</t>
  </si>
  <si>
    <t xml:space="preserve">Передача решения заказчику/пользователю и подготовка рекомендаций по дальнейшему сопровождению и развитию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</si>
  <si>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</si>
  <si>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</si>
  <si>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</si>
  <si>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Анализ предметной области и формирование требований к онлайн-сервису</t>
  </si>
  <si>
    <t xml:space="preserve">10.02.2026 — 23.02.2026</t>
  </si>
  <si>
    <t xml:space="preserve">Проектирование архитектуры системы и пользовательского интерфейса</t>
  </si>
  <si>
    <t xml:space="preserve">24.02.2026 — 09.03.2026</t>
  </si>
  <si>
    <t xml:space="preserve">Разработка серверной и клиентской части MVP онлайн-сервиса</t>
  </si>
  <si>
    <t xml:space="preserve">10.03.2026 — 30.03.2026</t>
  </si>
  <si>
    <t xml:space="preserve">Интеграция ИИ-модуля стилизации и интеллектуальной обработки изображений</t>
  </si>
  <si>
    <t xml:space="preserve">31.03.2026 — 13.04.2026</t>
  </si>
  <si>
    <t xml:space="preserve">Тестирование, доработка и подготовка проектной документации</t>
  </si>
  <si>
    <t xml:space="preserve">14.04.2026 — 27.04.2026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</si>
  <si>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</si>
  <si>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</si>
  <si>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</si>
  <si>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</si>
  <si>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Роль в проекте</t>
  </si>
  <si>
    <t>Обязанности</t>
  </si>
  <si>
    <t>ФИО</t>
  </si>
  <si>
    <t xml:space="preserve">Руководитель проекта</t>
  </si>
  <si>
    <t xml:space="preserve">Спонсор проекта</t>
  </si>
  <si>
    <t xml:space="preserve">1. Принимает решение о запуске и поддержке проекта. 2. Определяет приоритетность проекта и подтверждает необходимость его реализации. 3. Утверждает ключевые изменения по срокам, бюджету и составу работ. 4. Обеспечивает ресурсную и организационную поддержку проекта.</t>
  </si>
  <si>
    <t xml:space="preserve">Иванов Иван Иванович</t>
  </si>
  <si>
    <t xml:space="preserve">Бизнес-аналитик / системный аналитик</t>
  </si>
  <si>
    <t xml:space="preserve">1. Обеспечивает общее руководство проектом и контроль его выполнения. 2. Разрабатывает план проекта и контролирует соблюдение сроков. 3. Организует взаимодействие между участниками команды. 4. Управляет рисками, изменениями и коммуникациями проекта. 5. Контролирует выполнение задач и качество промежуточных результатов. 6. Подготавливает отчетность по проекту.</t>
  </si>
  <si>
    <t>Backend-разработчик</t>
  </si>
  <si>
    <t xml:space="preserve">1. Собирает и формализует требования к системе. 2. Уточняет ожидания пользователей и заказчика. 3. Описывает функциональные и нефункциональные требования. 4. Участвует в постановке задач на разработку. 5. Консультирует команду по вопросам бизнес-логики и сценариев использования сервиса.</t>
  </si>
  <si>
    <t>Frontend-разработчик</t>
  </si>
  <si>
    <t xml:space="preserve">1. Реализует серверную логику приложения. 2. Разрабатывает API для работы frontend и ML-модуля. 3. Реализует обработку загрузки изображений и референсов. 4. Настраивает хранение данных и историю обработок. 5. Обеспечивает корректную интеграцию серверной части с другими компонентами системы.</t>
  </si>
  <si>
    <t>ML-инженер</t>
  </si>
  <si>
    <t xml:space="preserve">1. Разрабатывает пользовательский интерфейс сервиса. 2. Реализует формы регистрации и авторизации. 3. Обеспечивает интерфейс загрузки изображений и референсов. 4. Реализует предпросмотр результатов обработки и скачивание файлов. 5. Обеспечивает удобство и корректность взаимодействия пользователя с системой.</t>
  </si>
  <si>
    <t>UX/UI-дизайнер</t>
  </si>
  <si>
    <t xml:space="preserve">1. Настраивает и интегрирует модуль ИИ-обработки изображений. 2. Отвечает за перенос пользовательского стиля и базовые AI-функции. 3. Оптимизирует качество и производительность обработки изображений. 4. Участвует в тестировании качества результатов модели. 5. Консультирует команду по ограничениям и возможностям ML-компонента.</t>
  </si>
  <si>
    <t>Тестировщик</t>
  </si>
  <si>
    <t xml:space="preserve">1. Проектирует пользовательские сценарии и интерфейсы системы. 2. Разрабатывает макеты экранов и визуальную структуру интерфейса. 3. Участвует в проектировании удобного пользовательского пути. 4. Консультирует команду по вопросам визуального представления и удобства использования.</t>
  </si>
  <si>
    <t xml:space="preserve">1. Проводит тестирование пользовательских сценариев. 2. Проверяет корректность работы интерфейса, backend-логики и ML-модуля. 3. Фиксирует ошибки и замечания. 4. Контролирует устранение выявленных дефектов. 5. Подготавливает результаты тестирования и участвует в приемке решения.</t>
  </si>
  <si>
    <t xml:space="preserve">1. Принимает решение о запуске и поддержке проекта</t>
  </si>
  <si>
    <t xml:space="preserve">2. Определяет приоритетность проекта и подтверждает необходимость его реализации. </t>
  </si>
  <si>
    <t xml:space="preserve">3. Утверждает ключевые изменения по срокам, бюджету и составу работ</t>
  </si>
  <si>
    <t xml:space="preserve">4. Обеспечивает ресурсную и организационную поддержку проекта.</t>
  </si>
  <si>
    <t xml:space="preserve">1. Обеспечивает общее руководство проектом и контроль его выполнения</t>
  </si>
  <si>
    <t xml:space="preserve">2. Разрабатывает план проекта и контролирует соблюдение сроков</t>
  </si>
  <si>
    <t xml:space="preserve">3. Организует взаимодействие между участниками команды</t>
  </si>
  <si>
    <t xml:space="preserve">4. Управляет рисками, изменениями и коммуникациями проекта</t>
  </si>
  <si>
    <t xml:space="preserve">5. Контролирует выполнение задач и качество промежуточных результатов</t>
  </si>
  <si>
    <t xml:space="preserve">6. Подготавливает отчетность по проекту</t>
  </si>
  <si>
    <t xml:space="preserve">1. Собирает и формализует требования к системе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</si>
  <si>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</si>
  <si>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</si>
  <si>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</si>
  <si>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</si>
  <si>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</si>
  <si>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Рабочая станция для ML-разработки и тестирования модели</t>
  </si>
  <si>
    <t xml:space="preserve">Ноутбук/ПК для разработки клиентской и серверной части</t>
  </si>
  <si>
    <t xml:space="preserve">Аренда облачного GPU-сервера для обучения и тестирования модели</t>
  </si>
  <si>
    <t xml:space="preserve">2 мес</t>
  </si>
  <si>
    <t xml:space="preserve">Аренда VPS-сервера для размещения backend и API</t>
  </si>
  <si>
    <t xml:space="preserve">3 мес</t>
  </si>
  <si>
    <t xml:space="preserve">Облачное хранилище изображений и результатов обработки</t>
  </si>
  <si>
    <t xml:space="preserve">Доменное имя и SSL-сертификат</t>
  </si>
  <si>
    <t xml:space="preserve">Лицензия/подписка на сервис проектирования интерфейсов</t>
  </si>
  <si>
    <t xml:space="preserve">Средства связи и интернет-обеспечение команды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</si>
  <si>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</si>
  <si>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</si>
  <si>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</si>
  <si>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</si>
  <si>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</si>
  <si>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</si>
  <si>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</si>
  <si>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</si>
  <si>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</si>
  <si>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</si>
  <si>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</si>
  <si>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</si>
  <si>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</si>
  <si>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</si>
  <si>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</si>
  <si>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</si>
  <si>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Разработка программного обеспечения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</si>
  <si>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</si>
  <si>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</si>
  <si>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</si>
  <si>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10 %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</si>
  <si>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</si>
  <si>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</si>
  <si>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</si>
  <si>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</si>
  <si>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</si>
  <si>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</si>
  <si>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</si>
  <si>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</si>
  <si>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</si>
  <si>
    <t xml:space="preserve">Название риска</t>
  </si>
  <si>
    <t>Причины</t>
  </si>
  <si>
    <t xml:space="preserve">Категория риска</t>
  </si>
  <si>
    <t xml:space="preserve">Вероятность (P)</t>
  </si>
  <si>
    <t xml:space="preserve">Влияние (I)</t>
  </si>
  <si>
    <t xml:space="preserve">Оценка P*I</t>
  </si>
  <si>
    <t xml:space="preserve">Меры предотвращения</t>
  </si>
  <si>
    <t xml:space="preserve">Нечеткость требований заказчика и пользователей</t>
  </si>
  <si>
    <t xml:space="preserve">Недостаточная формализация ожиданий, разные сценарии использования, отсутствие единого перечня требований</t>
  </si>
  <si>
    <t>Внешний</t>
  </si>
  <si>
    <t xml:space="preserve">Интервью со стейкхолдерами, фиксация требований, прототипирование MVP, согласование backlog</t>
  </si>
  <si>
    <t xml:space="preserve">Изменение требований в ходе разработки</t>
  </si>
  <si>
    <t xml:space="preserve">Появление новых пожеланий, уточнение бизнес-логики, расширение объема проекта</t>
  </si>
  <si>
    <t xml:space="preserve">Управление проектом</t>
  </si>
  <si>
    <t xml:space="preserve">Ввести change request, замораживать требования на итерацию, согласовывать влияние на сроки и бюджет</t>
  </si>
  <si>
    <t xml:space="preserve">Низкое качество результата стилизации</t>
  </si>
  <si>
    <t xml:space="preserve">Ограничения модели, слабая обобщающая способность, сложные пользовательские изображения</t>
  </si>
  <si>
    <t>Технический</t>
  </si>
  <si>
    <t xml:space="preserve">Прототипирование, тестовый набор изображений, настройка гиперпараметров, резерв на дообучение</t>
  </si>
  <si>
    <t xml:space="preserve">Нехватка или низкое качество референсов стиля</t>
  </si>
  <si>
    <t xml:space="preserve">Пользователь загружает мало изображений, шумные примеры, несогласованный визуальный стиль</t>
  </si>
  <si>
    <t xml:space="preserve">Установить минимальные требования к набору референсов, валидация качества, подсказки в интерфейсе</t>
  </si>
  <si>
    <t xml:space="preserve">Срыв сроков из-за учебной нагрузки команды</t>
  </si>
  <si>
    <t xml:space="preserve">Сессия, параллельные дисциплины, ограниченная доступность исполнителей</t>
  </si>
  <si>
    <t>Организационный</t>
  </si>
  <si>
    <t xml:space="preserve">Буфер по срокам, дробление задач, недельный контроль прогресса, раннее закрытие критичных задач</t>
  </si>
  <si>
    <t xml:space="preserve">Нехватка компетенций в ML-части проекта</t>
  </si>
  <si>
    <t xml:space="preserve">Недостаточный опыт команды в генеративных моделях и обработке изображений</t>
  </si>
  <si>
    <t xml:space="preserve">Выбор более простого MVP, консультации, изучение baseline-решений, ранний технический прототип</t>
  </si>
  <si>
    <t xml:space="preserve">Ошибки интеграции backend и ML-модуля</t>
  </si>
  <si>
    <t xml:space="preserve">Несогласованность форматов данных, проблемные API-вызовы, разные ожидания модулей</t>
  </si>
  <si>
    <t xml:space="preserve">Зафиксировать контракт API, использовать тестовые запросы, интеграционные тесты с раннего этапа</t>
  </si>
  <si>
    <t xml:space="preserve">Недостаточная производительность сервиса</t>
  </si>
  <si>
    <t xml:space="preserve">Большой размер изображений, долгий инференс, ограниченные серверные ресурсы</t>
  </si>
  <si>
    <t xml:space="preserve">Ограничение размеров файлов, очереди задач, кэширование, тесты под нагрузкой</t>
  </si>
  <si>
    <t xml:space="preserve">Перегрузка GPU/серверной инфраструктуры</t>
  </si>
  <si>
    <t xml:space="preserve">Одновременные запросы, высокая вычислительная нагрузка, слабая конфигурация</t>
  </si>
  <si>
    <t xml:space="preserve">Лимиты на загрузку, очереди обработки, масштабирование ресурсов, мониторинг использования</t>
  </si>
  <si>
    <t xml:space="preserve">Потеря ключевого участника проекта</t>
  </si>
  <si>
    <t xml:space="preserve">Болезнь, личные обстоятельства, снижение вовлеченности</t>
  </si>
  <si>
    <t xml:space="preserve">Дублирование знаний, документация по задачам, распределение критичных функций между несколькими участниками</t>
  </si>
  <si>
    <t xml:space="preserve">Ошибочная оценка сроков разработки</t>
  </si>
  <si>
    <t xml:space="preserve">Слишком оптимистичное планирование, недооценка ML-работ и тестирования</t>
  </si>
  <si>
    <t xml:space="preserve">Пересмотр оценок по этапам, резерв времени, контроль факта против плана</t>
  </si>
  <si>
    <t xml:space="preserve">Потеря или повреждение данных изображений</t>
  </si>
  <si>
    <t xml:space="preserve">Сбои хранилища, ошибки загрузки, удаление файлов</t>
  </si>
  <si>
    <t xml:space="preserve">Резервное копирование, версионирование, контроль целостности файлов</t>
  </si>
  <si>
    <t xml:space="preserve">Утечка пользовательских данных</t>
  </si>
  <si>
    <t xml:space="preserve">Ошибки настройки доступа, уязвимости API, слабая защита хранилища</t>
  </si>
  <si>
    <t xml:space="preserve">Разграничение прав, шифрование, безопасное хранение, аудит доступа</t>
  </si>
  <si>
    <t xml:space="preserve">Невозможность достичь целевой метрики по времени обработки</t>
  </si>
  <si>
    <t xml:space="preserve">Сложность модели, высокая нагрузка, неэффективная предобработка</t>
  </si>
  <si>
    <t xml:space="preserve">Упростить pipeline, оптимизировать размер входов, профилирование и тесты производительности</t>
  </si>
  <si>
    <t xml:space="preserve">Рост стоимости облачных вычислений</t>
  </si>
  <si>
    <t xml:space="preserve">Изменение тарифов, превышение квот, увеличение нагрузки</t>
  </si>
  <si>
    <t xml:space="preserve">Резерв бюджета, отслеживание тарифов, оптимизация потребления ресурсов</t>
  </si>
  <si>
    <t xml:space="preserve">Низкая устойчивость модели на нестандартных изображениях</t>
  </si>
  <si>
    <t xml:space="preserve">Нетипичные ракурсы, низкое качество фото, сложный фон</t>
  </si>
  <si>
    <t xml:space="preserve">Расширение тестового набора, предусмотреть ограничения и предупреждения пользователю</t>
  </si>
  <si>
    <t xml:space="preserve">Некорректная работа удаления фона</t>
  </si>
  <si>
    <t xml:space="preserve">Плохое разделение объекта и фона, сложные контуры, низкое качество исходника</t>
  </si>
  <si>
    <t xml:space="preserve">Тестирование на разных кейсах, fallback-режим, пользовательские ограничения на вход</t>
  </si>
  <si>
    <t xml:space="preserve">Несогласованность команд frontend/backend/ML</t>
  </si>
  <si>
    <t xml:space="preserve">Разная трактовка задач, задержки коммуникаций, отсутствие единых артефактов</t>
  </si>
  <si>
    <t xml:space="preserve">Единый backlog, короткие синки, техническая документация, зафиксированные интерфейсы</t>
  </si>
  <si>
    <t xml:space="preserve">Ошибки в хранении истории обработок</t>
  </si>
  <si>
    <t xml:space="preserve">Некорректная запись метаданных, дубли, потеря связей с файлами</t>
  </si>
  <si>
    <t xml:space="preserve">Схема данных, тесты CRUD-операций, проверка связности записей</t>
  </si>
  <si>
    <t xml:space="preserve">Неполный сбор пользовательских сценариев</t>
  </si>
  <si>
    <t xml:space="preserve">Упор только на основной кейс, отсутствие edge-case анализа</t>
  </si>
  <si>
    <t xml:space="preserve">Карта сценариев, user stories, приоритизация основных и альтернативных кейсов</t>
  </si>
  <si>
    <t xml:space="preserve">Ошибки при загрузке изображений в неподдерживаемых форматах</t>
  </si>
  <si>
    <t xml:space="preserve">Пользовательские ошибки, отсутствие строгой валидации</t>
  </si>
  <si>
    <t xml:space="preserve">Проверка форматов, ограничения по размеру, сообщения об ошибках</t>
  </si>
  <si>
    <t xml:space="preserve">Проблемы с авторизацией и доступом к личному кабинету</t>
  </si>
  <si>
    <t xml:space="preserve">Ошибки в логике аутентификации, сбои сессий, неверная обработка токенов</t>
  </si>
  <si>
    <t xml:space="preserve">Тестирование auth-flow, логирование ошибок, ограничение попыток входа</t>
  </si>
  <si>
    <t xml:space="preserve">Задержки в принятии решений по проекту</t>
  </si>
  <si>
    <t xml:space="preserve">Позднее согласование, отсутствие оперативной обратной связи</t>
  </si>
  <si>
    <t xml:space="preserve">Фиксировать дедлайны согласований, определить ответственного за принятие решений</t>
  </si>
  <si>
    <t xml:space="preserve">Недостаточная точность оценки бюджета</t>
  </si>
  <si>
    <t xml:space="preserve">Неполный учет затрат на инфраструктуру и доработки</t>
  </si>
  <si>
    <t xml:space="preserve">Резерв бюджета, пересмотр сметы по этапам, отдельный учет рисковых затрат</t>
  </si>
  <si>
    <t xml:space="preserve">Ошибки в логике предобработки изображений</t>
  </si>
  <si>
    <t xml:space="preserve">Неверное изменение размера, потеря качества, неправильная нормализация</t>
  </si>
  <si>
    <t xml:space="preserve">Тестовые наборы изображений, автопроверки параметров входа и выхода</t>
  </si>
  <si>
    <t xml:space="preserve">Снижение качества результата при пакетной обработке</t>
  </si>
  <si>
    <t xml:space="preserve">Разнородность входных изображений, отсутствие адаптации параметров</t>
  </si>
  <si>
    <t xml:space="preserve">Ограничить batch-режим в MVP, тестировать на типовых наборах</t>
  </si>
  <si>
    <t xml:space="preserve">Задержка подготовки документации</t>
  </si>
  <si>
    <t xml:space="preserve">Приоритет смещается на код, документация ведется в конце</t>
  </si>
  <si>
    <t xml:space="preserve">Вести документацию параллельно, закрепить ответственного, шаблоны документов</t>
  </si>
  <si>
    <t xml:space="preserve">Ошибки логирования и мониторинга</t>
  </si>
  <si>
    <t xml:space="preserve">Недостаточное покрытие событий, неполные диагностические данные</t>
  </si>
  <si>
    <t xml:space="preserve">Ввести единые правила логирования, тестировать критичные сценарии</t>
  </si>
  <si>
    <t xml:space="preserve">Низкая удовлетворенность интерфейсом</t>
  </si>
  <si>
    <t xml:space="preserve">Сложный пользовательский путь, перегруженные формы, неочевидные действия</t>
  </si>
  <si>
    <t xml:space="preserve">Прототип UI, приемочное тестирование, сокращение числа шагов</t>
  </si>
  <si>
    <t xml:space="preserve">Задержка поставки/подключения облачных сервисов</t>
  </si>
  <si>
    <t xml:space="preserve">Ограничения аккаунтов, проблемы доступа, ошибки конфигурации</t>
  </si>
  <si>
    <t xml:space="preserve">Раннее развертывание окружения, резервный провайдер, проверка доступов</t>
  </si>
  <si>
    <t xml:space="preserve">Несовместимость библиотек и зависимостей</t>
  </si>
  <si>
    <t xml:space="preserve">Обновления пакетов, конфликт версий, устаревшие зависимости</t>
  </si>
  <si>
    <t xml:space="preserve">Фиксация версий, requirements lock, отдельная тестовая среда</t>
  </si>
  <si>
    <t xml:space="preserve">Непредвиденные дефекты после обновления модели</t>
  </si>
  <si>
    <t xml:space="preserve">Регрессия качества, изменение поведения алгоритма</t>
  </si>
  <si>
    <t xml:space="preserve">Регрессионные тесты, контрольные датасеты, версионирование моделей</t>
  </si>
  <si>
    <t xml:space="preserve">Низкая достоверность пользовательской обратной связи</t>
  </si>
  <si>
    <t xml:space="preserve">Малое число тестировщиков, субъективность оценок, неполные анкеты</t>
  </si>
  <si>
    <t xml:space="preserve">Стандартизировать анкету, проводить несколько раундов оценки</t>
  </si>
  <si>
    <t xml:space="preserve">Недостаточное тестовое покрытие</t>
  </si>
  <si>
    <t xml:space="preserve">Сжатые сроки, пропуск edge-case сценариев</t>
  </si>
  <si>
    <t xml:space="preserve">Чек-листы тестирования, приоритизация критичных кейсов</t>
  </si>
  <si>
    <t xml:space="preserve">Ошибки в API между клиентом и сервером</t>
  </si>
  <si>
    <t xml:space="preserve">Некорректные контракты, разные форматы ответов</t>
  </si>
  <si>
    <t xml:space="preserve">OpenAPI/спецификация, контрактные тесты, mock-сервис</t>
  </si>
  <si>
    <t xml:space="preserve">Снижение мотивации команды</t>
  </si>
  <si>
    <t xml:space="preserve">Монотонные задачи, затягивание сроков, перегрузка</t>
  </si>
  <si>
    <t xml:space="preserve">Короткие итерации, видимые промежуточные результаты, перераспределение задач</t>
  </si>
  <si>
    <t xml:space="preserve">Ограничения по хранению больших файлов</t>
  </si>
  <si>
    <t xml:space="preserve">Переполнение хранилища, лимиты тарифов</t>
  </si>
  <si>
    <t xml:space="preserve">Очистка временных файлов, лимиты размера, архивирование результатов</t>
  </si>
  <si>
    <t xml:space="preserve">Ошибки в расчете метрик эффективности</t>
  </si>
  <si>
    <t xml:space="preserve">Неверные формулы, некорректная выборка для сравнения</t>
  </si>
  <si>
    <t xml:space="preserve">Зафиксировать методику расчета KPI, сверка на тестовых данных</t>
  </si>
  <si>
    <t xml:space="preserve">Неполное логическое покрытие RACI и ответственности</t>
  </si>
  <si>
    <t xml:space="preserve">Размытые зоны ответственности, пересечение ролей</t>
  </si>
  <si>
    <t xml:space="preserve">Утвердить RACI-матрицу, закрепить ответственных по ключевым задачам</t>
  </si>
  <si>
    <t xml:space="preserve">Некорректная работа сервиса на мобильных устройствах</t>
  </si>
  <si>
    <t xml:space="preserve">Неполная адаптация интерфейса, ограничения браузеров</t>
  </si>
  <si>
    <t xml:space="preserve">Тестирование на разных разрешениях, упрощение UI</t>
  </si>
  <si>
    <t xml:space="preserve">Задержка из-за необходимости переработки UX</t>
  </si>
  <si>
    <t xml:space="preserve">Выявление проблем удобства слишком поздно</t>
  </si>
  <si>
    <t xml:space="preserve">Ранний прототип интерфейса, быстрые UX-проверки</t>
  </si>
  <si>
    <t xml:space="preserve">Ошибки пользователей при выборе параметров обработки</t>
  </si>
  <si>
    <t xml:space="preserve">Неочевидные настройки, отсутствие подсказок</t>
  </si>
  <si>
    <t xml:space="preserve">Подсказки в интерфейсе, значения по умолчанию, валидация форм</t>
  </si>
  <si>
    <t xml:space="preserve">Нестабильность интернет-соединения при загрузке файлов</t>
  </si>
  <si>
    <t xml:space="preserve">Прерывание передачи, повторная загрузка</t>
  </si>
  <si>
    <t xml:space="preserve">Повторные попытки upload, индикатор прогресса, догрузка</t>
  </si>
  <si>
    <t xml:space="preserve">Временная недоступность внешних сервисов</t>
  </si>
  <si>
    <t xml:space="preserve">Сбой хостинга, проблемы облачного провайдера</t>
  </si>
  <si>
    <t xml:space="preserve">Резервный канал, локальное логирование, повтор запросов</t>
  </si>
  <si>
    <t xml:space="preserve">Возможность ускорения разработки за счет использования готовых open-source компонентов</t>
  </si>
  <si>
    <t xml:space="preserve">Наличие проверенных библиотек и модулей для отдельных функций</t>
  </si>
  <si>
    <t>Возможность</t>
  </si>
  <si>
    <t xml:space="preserve">Активно использовать внешие библиотеки, проводить оценку совместимости до интеграции</t>
  </si>
  <si>
    <t xml:space="preserve">Сумма боллов всего</t>
  </si>
  <si>
    <t xml:space="preserve">Поправка на риск 10%</t>
  </si>
  <si>
    <t xml:space="preserve">Количетво дней разработки без рисков</t>
  </si>
  <si>
    <t xml:space="preserve">С рисками</t>
  </si>
  <si>
    <t xml:space="preserve">Стоимость проекта без рисков</t>
  </si>
  <si>
    <t xml:space="preserve">Степень вероятности</t>
  </si>
  <si>
    <t>Вес</t>
  </si>
  <si>
    <t xml:space="preserve">Очень низкая</t>
  </si>
  <si>
    <t>Низкая</t>
  </si>
  <si>
    <t>Средняя</t>
  </si>
  <si>
    <t>Высокая</t>
  </si>
  <si>
    <t xml:space="preserve">Очень высокая</t>
  </si>
  <si>
    <t xml:space="preserve">Степень влияния</t>
  </si>
  <si>
    <t xml:space="preserve">Очень низкое</t>
  </si>
  <si>
    <t>Низкое</t>
  </si>
  <si>
    <t>Среднее</t>
  </si>
  <si>
    <t>Высокое</t>
  </si>
  <si>
    <t xml:space="preserve">Очень высокое</t>
  </si>
  <si>
    <t>Задача</t>
  </si>
  <si>
    <r>
      <t/>
    </r>
    <r>
      <rPr>
        <b/>
        <sz val="12"/>
        <rFont val="Times New Roman"/>
      </rPr>
      <t xml:space="preserve">Функции RACI-матрицы:</t>
    </r>
    <r>
      <rPr>
        <sz val="12"/>
        <rFont val="Times New Roman"/>
      </rPr>
      <t xml:space="preserve">
R (Responsible) — исполнитель
A (Accountable) — ответственный за результат
C (Consulted) — предоставляет консультации (двусторонняя коммуникация).
I (Informed) — информируется о результатах (односторонняя коммуникация).</t>
    </r>
  </si>
  <si>
    <t xml:space="preserve">Спроектировать экран регистрации</t>
  </si>
  <si>
    <t>I</t>
  </si>
  <si>
    <t>A</t>
  </si>
  <si>
    <t>C</t>
  </si>
  <si>
    <t>R</t>
  </si>
  <si>
    <t xml:space="preserve">Реализовать форму авторизации</t>
  </si>
  <si>
    <t xml:space="preserve">Реализовать загрузку исходного изображения</t>
  </si>
  <si>
    <t xml:space="preserve">Реализовать валидацию форматов изображений</t>
  </si>
  <si>
    <t xml:space="preserve">Реализовать загрузку референсов</t>
  </si>
  <si>
    <t xml:space="preserve">Настроить модуль стилизации</t>
  </si>
  <si>
    <t>R/A</t>
  </si>
  <si>
    <t xml:space="preserve">Реализовать предпросмотр результата</t>
  </si>
  <si>
    <t xml:space="preserve">Реализовать скачивание итогового файла</t>
  </si>
  <si>
    <t xml:space="preserve">Реализовать хранение истории обработок</t>
  </si>
  <si>
    <t xml:space="preserve">Провести тестирование пользовательских сценариев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</si>
</sst>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  <numFmt numFmtId="168" formatCode="dd\.mm\.yyyy"/>
    <numFmt numFmtId="169" formatCode="d\.m\.yyyy"/>
    <numFmt numFmtId="170" formatCode="dd/mm/yyyy"/>
    <numFmt numFmtId="171" formatCode="[$-409]m/d/yyyy"/>
    <numFmt numFmtId="172" formatCode="#,##0.00\ _₽"/>
  </numFmts>
  <fonts count="37">
    <font>
      <sz val="12.000000"/>
      <color theme="1" tint="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2.000000"/>
      <color theme="10" tint="0"/>
      <name val="Arial"/>
    </font>
    <font>
      <sz val="12.000000"/>
      <name val="Arial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u/>
      <sz val="12.000000"/>
      <color theme="11" tint="0"/>
      <name val="Arial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1.000000"/>
      <name val="Arial"/>
    </font>
    <font>
      <sz val="12.000000"/>
      <name val="Calibri"/>
    </font>
    <font>
      <b/>
      <sz val="11.000000"/>
      <color theme="1" tint="0"/>
      <name val="Arial"/>
    </font>
    <font>
      <sz val="12.000000"/>
      <color theme="1" tint="0"/>
      <name val="Calibri"/>
    </font>
    <font>
      <sz val="12.000000"/>
      <name val="Times New Roman"/>
    </font>
    <font>
      <sz val="10.000000"/>
      <color theme="1" tint="0"/>
      <name val="Arial"/>
    </font>
    <font>
      <b/>
      <sz val="12.000000"/>
      <name val="Times New Roman"/>
    </font>
    <font>
      <sz val="12.000000"/>
      <color theme="1" tint="0"/>
      <name val="Times New Roman"/>
    </font>
    <font>
      <sz val="12.000000"/>
      <color indexed="64"/>
      <name val="Times New Roman"/>
    </font>
    <font>
      <b/>
      <sz val="12.000000"/>
      <color theme="1" tint="0"/>
      <name val="Times New Roman"/>
    </font>
    <font>
      <b/>
      <sz val="12.000000"/>
      <color theme="1" tint="0"/>
      <name val="Arial"/>
    </font>
    <font>
      <i/>
      <sz val="12.000000"/>
      <name val="Times New Roman"/>
    </font>
    <font>
      <i/>
      <sz val="12.000000"/>
      <color theme="1" tint="0"/>
      <name val="Times New Roman"/>
    </font>
    <font>
      <sz val="11.000000"/>
      <name val="Times New Roman"/>
    </font>
    <font>
      <b/>
      <sz val="10.000000"/>
      <color theme="1" tint="0"/>
      <name val="Times New Roman"/>
    </font>
    <font>
      <sz val="10.000000"/>
      <color theme="1" tint="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.79998199999999997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6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/>
      <right/>
      <top style="none"/>
      <bottom/>
      <diagonal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0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3" fillId="25" borderId="1" numFmtId="0" applyNumberFormat="1" applyFont="1" applyFill="1" applyBorder="1"/>
    <xf fontId="4" fillId="26" borderId="2" numFmtId="0" applyNumberFormat="1" applyFont="1" applyFill="1" applyBorder="1"/>
    <xf fontId="5" fillId="26" borderId="1" numFmtId="0" applyNumberFormat="1" applyFont="1" applyFill="1" applyBorder="1"/>
    <xf fontId="6" fillId="0" borderId="0" numFmtId="0" applyNumberFormat="1" applyFont="1" applyFill="1" applyBorder="1"/>
    <xf fontId="7" fillId="0" borderId="0" numFmtId="164" applyNumberFormat="1" applyFont="1" applyFill="1" applyBorder="1"/>
    <xf fontId="7" fillId="0" borderId="0" numFmtId="165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0" borderId="6" numFmtId="0" applyNumberFormat="1" applyFont="1" applyFill="1" applyBorder="1"/>
    <xf fontId="12" fillId="27" borderId="7" numFmtId="0" applyNumberFormat="1" applyFont="1" applyFill="1" applyBorder="1"/>
    <xf fontId="13" fillId="0" borderId="0" numFmtId="0" applyNumberFormat="1" applyFont="1" applyFill="1" applyBorder="1"/>
    <xf fontId="14" fillId="28" borderId="0" numFmtId="0" applyNumberFormat="1" applyFont="1" applyFill="1" applyBorder="1"/>
    <xf fontId="15" fillId="0" borderId="0" numFmtId="0" applyNumberFormat="1" applyFont="1" applyFill="1" applyBorder="1"/>
    <xf fontId="16" fillId="29" borderId="0" numFmtId="0" applyNumberFormat="1" applyFont="1" applyFill="1" applyBorder="1"/>
    <xf fontId="17" fillId="0" borderId="0" numFmtId="0" applyNumberFormat="1" applyFont="1" applyFill="1" applyBorder="1"/>
    <xf fontId="7" fillId="30" borderId="8" numFmtId="0" applyNumberFormat="1" applyFont="1" applyFill="1" applyBorder="1"/>
    <xf fontId="7" fillId="0" borderId="0" numFmtId="9" applyNumberFormat="1" applyFont="1" applyFill="1" applyBorder="1"/>
    <xf fontId="18" fillId="0" borderId="9" numFmtId="0" applyNumberFormat="1" applyFont="1" applyFill="1" applyBorder="1"/>
    <xf fontId="19" fillId="0" borderId="0" numFmtId="0" applyNumberFormat="1" applyFont="1" applyFill="1" applyBorder="1"/>
    <xf fontId="7" fillId="0" borderId="0" numFmtId="166" applyNumberFormat="1" applyFont="1" applyFill="1" applyBorder="1"/>
    <xf fontId="7" fillId="0" borderId="0" numFmtId="167" applyNumberFormat="1" applyFont="1" applyFill="1" applyBorder="1"/>
    <xf fontId="20" fillId="31" borderId="0" numFmtId="0" applyNumberFormat="1" applyFont="1" applyFill="1" applyBorder="1"/>
  </cellStyleXfs>
  <cellXfs count="169">
    <xf fontId="0" fillId="0" borderId="0" numFmtId="0" xfId="0"/>
    <xf fontId="21" fillId="0" borderId="10" numFmtId="0" xfId="0" applyFont="1" applyBorder="1" applyAlignment="1">
      <alignment horizontal="center" vertical="center"/>
    </xf>
    <xf fontId="22" fillId="0" borderId="10" numFmtId="0" xfId="0" applyFont="1" applyBorder="1" applyAlignment="1">
      <alignment horizontal="left" vertical="center" wrapText="1"/>
    </xf>
    <xf fontId="0" fillId="0" borderId="0" numFmtId="0" xfId="0"/>
    <xf fontId="23" fillId="32" borderId="11" numFmtId="0" xfId="0" applyFont="1" applyFill="1" applyBorder="1" applyAlignment="1">
      <alignment horizontal="center" vertical="center"/>
    </xf>
    <xf fontId="24" fillId="0" borderId="12" numFmtId="0" xfId="0" applyFont="1" applyBorder="1" applyAlignment="1">
      <alignment horizontal="center" vertical="center" wrapText="1"/>
    </xf>
    <xf fontId="23" fillId="32" borderId="13" numFmtId="0" xfId="0" applyFont="1" applyFill="1" applyBorder="1" applyAlignment="1">
      <alignment horizontal="center" vertical="center"/>
    </xf>
    <xf fontId="24" fillId="0" borderId="13" numFmtId="0" xfId="0" applyFont="1" applyBorder="1" applyAlignment="1">
      <alignment horizontal="left" vertical="center" wrapText="1"/>
    </xf>
    <xf fontId="0" fillId="32" borderId="14" numFmtId="0" xfId="0" applyFill="1" applyBorder="1" applyAlignment="1">
      <alignment wrapText="1"/>
    </xf>
    <xf fontId="0" fillId="32" borderId="13" numFmtId="0" xfId="0" applyFill="1" applyBorder="1" applyAlignment="1">
      <alignment wrapText="1"/>
    </xf>
    <xf fontId="21" fillId="0" borderId="15" numFmtId="0" xfId="0" applyFont="1" applyBorder="1" applyAlignment="1">
      <alignment horizontal="center" vertical="center"/>
    </xf>
    <xf fontId="25" fillId="0" borderId="0" numFmtId="0" xfId="0" applyFont="1" applyAlignment="1">
      <alignment horizontal="left" vertical="center" wrapText="1"/>
    </xf>
    <xf fontId="25" fillId="0" borderId="16" numFmtId="0" xfId="0" applyFont="1" applyBorder="1" applyAlignment="1">
      <alignment horizontal="left" vertical="center" wrapText="1"/>
    </xf>
    <xf fontId="25" fillId="0" borderId="15" numFmtId="0" xfId="0" applyFont="1" applyBorder="1" applyAlignment="1">
      <alignment horizontal="left" vertical="center" wrapText="1"/>
    </xf>
    <xf fontId="25" fillId="0" borderId="17" numFmtId="0" xfId="0" applyFont="1" applyBorder="1" applyAlignment="1">
      <alignment horizontal="left" vertical="center" wrapText="1"/>
    </xf>
    <xf fontId="0" fillId="33" borderId="0" numFmtId="0" xfId="0" applyFill="1" applyAlignment="1">
      <alignment wrapText="1"/>
    </xf>
    <xf fontId="21" fillId="0" borderId="0" numFmtId="0" xfId="0" applyFont="1" applyAlignment="1">
      <alignment horizontal="center" vertical="center"/>
    </xf>
    <xf fontId="25" fillId="0" borderId="18" numFmtId="0" xfId="0" applyFont="1" applyBorder="1" applyAlignment="1">
      <alignment horizontal="left" vertical="center" wrapText="1"/>
    </xf>
    <xf fontId="25" fillId="0" borderId="19" numFmtId="0" xfId="0" applyFont="1" applyBorder="1" applyAlignment="1">
      <alignment horizontal="left" vertical="center" wrapText="1"/>
    </xf>
    <xf fontId="25" fillId="0" borderId="20" numFmtId="0" xfId="0" applyFont="1" applyBorder="1" applyAlignment="1">
      <alignment horizontal="left" vertical="center" wrapText="1"/>
    </xf>
    <xf fontId="25" fillId="0" borderId="21" numFmtId="0" xfId="0" applyFont="1" applyBorder="1" applyAlignment="1">
      <alignment horizontal="left" vertical="center" wrapText="1"/>
    </xf>
    <xf fontId="25" fillId="0" borderId="22" numFmtId="0" xfId="0" applyFont="1" applyBorder="1" applyAlignment="1">
      <alignment horizontal="left" vertical="center" wrapText="1"/>
    </xf>
    <xf fontId="22" fillId="0" borderId="10" numFmtId="168" xfId="0" applyNumberFormat="1" applyFont="1" applyBorder="1" applyAlignment="1">
      <alignment horizontal="left" vertical="center" wrapText="1"/>
    </xf>
    <xf fontId="22" fillId="0" borderId="10" numFmtId="169" xfId="0" applyNumberFormat="1" applyFont="1" applyBorder="1" applyAlignment="1">
      <alignment horizontal="left" wrapText="1"/>
    </xf>
    <xf fontId="22" fillId="0" borderId="10" numFmtId="4" xfId="0" applyNumberFormat="1" applyFont="1" applyBorder="1" applyAlignment="1">
      <alignment horizontal="left" vertical="center" wrapText="1"/>
    </xf>
    <xf fontId="26" fillId="0" borderId="0" numFmtId="0" xfId="0" applyFont="1" applyAlignment="1">
      <alignment vertical="center"/>
    </xf>
    <xf fontId="0" fillId="0" borderId="0" numFmtId="0" xfId="0" applyAlignment="1">
      <alignment horizontal="left"/>
    </xf>
    <xf fontId="0" fillId="0" borderId="23" numFmtId="0" xfId="0" applyBorder="1"/>
    <xf fontId="25" fillId="0" borderId="0" numFmtId="170" xfId="0" applyNumberFormat="1" applyFont="1" applyAlignment="1">
      <alignment horizontal="left" vertical="center" wrapText="1"/>
    </xf>
    <xf fontId="27" fillId="0" borderId="10" numFmtId="0" xfId="0" applyFont="1" applyBorder="1" applyAlignment="1">
      <alignment horizontal="center" wrapText="1"/>
    </xf>
    <xf fontId="25" fillId="0" borderId="12" numFmtId="0" xfId="0" applyFont="1" applyBorder="1" applyAlignment="1">
      <alignment horizontal="left" vertical="center" wrapText="1"/>
    </xf>
    <xf fontId="25" fillId="0" borderId="23" numFmtId="0" xfId="0" applyFont="1" applyBorder="1" applyAlignment="1">
      <alignment horizontal="left" vertical="center" wrapText="1"/>
    </xf>
    <xf fontId="25" fillId="0" borderId="24" numFmtId="0" xfId="0" applyFont="1" applyBorder="1" applyAlignment="1">
      <alignment horizontal="left" vertical="center" wrapText="1"/>
    </xf>
    <xf fontId="25" fillId="0" borderId="10" numFmtId="0" xfId="0" applyFont="1" applyBorder="1" applyAlignment="1">
      <alignment wrapText="1"/>
    </xf>
    <xf fontId="0" fillId="0" borderId="0" numFmtId="0" xfId="0" applyAlignment="1">
      <alignment wrapText="1"/>
    </xf>
    <xf fontId="27" fillId="0" borderId="10" numFmtId="0" xfId="0" applyFont="1" applyBorder="1" applyAlignment="1">
      <alignment wrapText="1"/>
    </xf>
    <xf fontId="28" fillId="0" borderId="10" numFmtId="0" xfId="0" applyFont="1" applyBorder="1" applyAlignment="1">
      <alignment wrapText="1"/>
    </xf>
    <xf fontId="29" fillId="0" borderId="10" numFmtId="0" xfId="0" applyFont="1" applyBorder="1" applyAlignment="1">
      <alignment horizontal="center" vertical="center" wrapText="1"/>
    </xf>
    <xf fontId="25" fillId="0" borderId="12" numFmtId="2" xfId="0" applyNumberFormat="1" applyFont="1" applyBorder="1" applyAlignment="1">
      <alignment horizontal="left" vertical="center" wrapText="1"/>
    </xf>
    <xf fontId="28" fillId="0" borderId="10" numFmtId="0" xfId="0" applyFont="1" applyBorder="1" applyAlignment="1">
      <alignment horizontal="center" wrapText="1"/>
    </xf>
    <xf fontId="29" fillId="0" borderId="10" numFmtId="0" xfId="0" applyFont="1" applyBorder="1" applyAlignment="1">
      <alignment horizontal="left" vertical="center" wrapText="1"/>
    </xf>
    <xf fontId="25" fillId="0" borderId="23" numFmtId="2" xfId="0" applyNumberFormat="1" applyFont="1" applyBorder="1" applyAlignment="1">
      <alignment horizontal="left" vertical="center" wrapText="1"/>
    </xf>
    <xf fontId="25" fillId="0" borderId="24" numFmtId="2" xfId="0" applyNumberFormat="1" applyFont="1" applyBorder="1" applyAlignment="1">
      <alignment horizontal="left" vertical="center" wrapText="1"/>
    </xf>
    <xf fontId="25" fillId="0" borderId="0" numFmtId="0" xfId="0" applyFont="1" applyAlignment="1">
      <alignment wrapText="1"/>
    </xf>
    <xf fontId="28" fillId="0" borderId="25" numFmtId="0" xfId="0" applyFont="1" applyBorder="1" applyAlignment="1">
      <alignment wrapText="1"/>
    </xf>
    <xf fontId="28" fillId="0" borderId="0" numFmtId="0" xfId="0" applyFont="1" applyAlignment="1">
      <alignment wrapText="1"/>
    </xf>
    <xf fontId="28" fillId="0" borderId="0" numFmtId="0" xfId="0" applyFont="1" applyAlignment="1">
      <alignment wrapText="1"/>
    </xf>
    <xf fontId="29" fillId="0" borderId="0" numFmtId="0" xfId="0" applyFont="1" applyAlignment="1">
      <alignment horizontal="center" vertical="center" wrapText="1"/>
    </xf>
    <xf fontId="0" fillId="0" borderId="0" numFmtId="0" xfId="0" applyAlignment="1">
      <alignment wrapText="1"/>
    </xf>
    <xf fontId="29" fillId="0" borderId="0" numFmtId="0" xfId="0" applyFont="1" applyAlignment="1">
      <alignment wrapText="1"/>
    </xf>
    <xf fontId="29" fillId="0" borderId="0" numFmtId="0" xfId="0" applyFont="1" applyAlignment="1">
      <alignment horizontal="left" wrapText="1"/>
    </xf>
    <xf fontId="0" fillId="0" borderId="0" numFmtId="0" xfId="0" applyAlignment="1">
      <alignment wrapText="1"/>
    </xf>
    <xf fontId="0" fillId="0" borderId="0" numFmtId="0" xfId="0"/>
    <xf fontId="0" fillId="0" borderId="0" numFmtId="0" xfId="0"/>
    <xf fontId="0" fillId="0" borderId="15" numFmtId="0" xfId="0" applyBorder="1" applyAlignment="1">
      <alignment horizontal="center" wrapText="1"/>
    </xf>
    <xf fontId="29" fillId="0" borderId="15" numFmtId="0" xfId="0" applyFont="1" applyBorder="1" applyAlignment="1">
      <alignment horizontal="center" wrapText="1"/>
    </xf>
    <xf fontId="29" fillId="0" borderId="15" numFmtId="0" xfId="0" applyFont="1" applyBorder="1" applyAlignment="1">
      <alignment horizontal="left" wrapText="1"/>
    </xf>
    <xf fontId="0" fillId="0" borderId="15" numFmtId="0" xfId="0" applyBorder="1" applyAlignment="1">
      <alignment wrapText="1"/>
    </xf>
    <xf fontId="0" fillId="0" borderId="0" numFmtId="0" xfId="0" applyAlignment="1">
      <alignment horizontal="center" wrapText="1"/>
    </xf>
    <xf fontId="29" fillId="0" borderId="0" numFmtId="0" xfId="0" applyFont="1" applyAlignment="1">
      <alignment horizontal="center" wrapText="1"/>
    </xf>
    <xf fontId="0" fillId="0" borderId="0" numFmtId="0" xfId="0" applyAlignment="1">
      <alignment horizontal="center"/>
    </xf>
    <xf fontId="25" fillId="0" borderId="21" numFmtId="0" xfId="0" applyFont="1" applyBorder="1" applyAlignment="1">
      <alignment wrapText="1"/>
    </xf>
    <xf fontId="27" fillId="0" borderId="26" numFmtId="0" xfId="0" applyFont="1" applyBorder="1" applyAlignment="1">
      <alignment wrapText="1"/>
    </xf>
    <xf fontId="25" fillId="0" borderId="27" numFmtId="0" xfId="0" applyFont="1" applyBorder="1" applyAlignment="1">
      <alignment horizontal="left" vertical="center" wrapText="1"/>
    </xf>
    <xf fontId="27" fillId="0" borderId="28" numFmtId="0" xfId="0" applyFont="1" applyBorder="1" applyAlignment="1">
      <alignment wrapText="1"/>
    </xf>
    <xf fontId="27" fillId="0" borderId="29" numFmtId="0" xfId="0" applyFont="1" applyBorder="1" applyAlignment="1">
      <alignment wrapText="1"/>
    </xf>
    <xf fontId="27" fillId="0" borderId="30" numFmtId="0" xfId="0" applyFont="1" applyBorder="1" applyAlignment="1">
      <alignment wrapText="1"/>
    </xf>
    <xf fontId="30" fillId="0" borderId="31" numFmtId="0" xfId="0" applyFont="1" applyBorder="1" applyAlignment="1">
      <alignment wrapText="1"/>
    </xf>
    <xf fontId="31" fillId="0" borderId="32" numFmtId="0" xfId="0" applyFont="1" applyBorder="1" applyAlignment="1">
      <alignment wrapText="1"/>
    </xf>
    <xf fontId="31" fillId="0" borderId="33" numFmtId="0" xfId="0" applyFont="1" applyBorder="1" applyAlignment="1">
      <alignment wrapText="1"/>
    </xf>
    <xf fontId="28" fillId="0" borderId="12" numFmtId="0" xfId="0" applyFont="1" applyBorder="1" applyAlignment="1">
      <alignment wrapText="1"/>
    </xf>
    <xf fontId="28" fillId="0" borderId="0" numFmtId="0" xfId="0" applyFont="1"/>
    <xf fontId="25" fillId="0" borderId="0" numFmtId="0" xfId="0" applyFont="1"/>
    <xf fontId="25" fillId="0" borderId="0" numFmtId="0" xfId="0" applyFont="1" applyAlignment="1">
      <alignment horizontal="right"/>
    </xf>
    <xf fontId="27" fillId="0" borderId="0" numFmtId="0" xfId="0" applyFont="1" applyAlignment="1">
      <alignment horizontal="center"/>
    </xf>
    <xf fontId="27" fillId="0" borderId="0" numFmtId="0" xfId="0" applyFont="1"/>
    <xf fontId="27" fillId="0" borderId="21" numFmtId="0" xfId="0" applyFont="1" applyBorder="1" applyAlignment="1">
      <alignment horizontal="center" wrapText="1"/>
    </xf>
    <xf fontId="32" fillId="0" borderId="0" numFmtId="0" xfId="0" applyFont="1" applyAlignment="1">
      <alignment horizontal="center"/>
    </xf>
    <xf fontId="25" fillId="0" borderId="34" numFmtId="0" xfId="0" applyFont="1" applyBorder="1"/>
    <xf fontId="28" fillId="0" borderId="0" numFmtId="0" xfId="0" applyFont="1" applyAlignment="1">
      <alignment horizontal="center" vertical="center"/>
    </xf>
    <xf fontId="27" fillId="0" borderId="35" numFmtId="0" xfId="0" applyFont="1" applyBorder="1" applyAlignment="1">
      <alignment horizontal="center" vertical="center" wrapText="1"/>
    </xf>
    <xf fontId="27" fillId="0" borderId="36" numFmtId="0" xfId="0" applyFont="1" applyBorder="1" applyAlignment="1">
      <alignment horizontal="center" vertical="center" wrapText="1"/>
    </xf>
    <xf fontId="27" fillId="0" borderId="37" numFmtId="0" xfId="0" applyFont="1" applyBorder="1" applyAlignment="1">
      <alignment horizontal="center" vertical="center" wrapText="1"/>
    </xf>
    <xf fontId="33" fillId="0" borderId="0" numFmtId="0" xfId="0" applyFont="1" applyAlignment="1">
      <alignment horizontal="center" vertical="center" wrapText="1"/>
    </xf>
    <xf fontId="27" fillId="0" borderId="38" numFmtId="0" xfId="0" applyFont="1" applyBorder="1" applyAlignment="1">
      <alignment horizontal="center" vertical="center" wrapText="1"/>
    </xf>
    <xf fontId="27" fillId="0" borderId="39" numFmtId="0" xfId="0" applyFont="1" applyBorder="1" applyAlignment="1">
      <alignment horizontal="center" wrapText="1"/>
    </xf>
    <xf fontId="27" fillId="0" borderId="40" numFmtId="0" xfId="0" applyFont="1" applyBorder="1" applyAlignment="1">
      <alignment horizontal="center" wrapText="1"/>
    </xf>
    <xf fontId="27" fillId="0" borderId="41" numFmtId="0" xfId="0" applyFont="1" applyBorder="1" applyAlignment="1">
      <alignment horizontal="center" wrapText="1"/>
    </xf>
    <xf fontId="33" fillId="0" borderId="0" numFmtId="0" xfId="0" applyFont="1"/>
    <xf fontId="25" fillId="0" borderId="10" numFmtId="0" xfId="0" applyFont="1" applyBorder="1" applyAlignment="1">
      <alignment horizontal="left" vertical="center" wrapText="1"/>
    </xf>
    <xf fontId="25" fillId="0" borderId="42" numFmtId="0" xfId="0" applyFont="1" applyBorder="1" applyAlignment="1">
      <alignment horizontal="center" vertical="center" wrapText="1"/>
    </xf>
    <xf fontId="25" fillId="0" borderId="10" numFmtId="171" xfId="0" applyNumberFormat="1" applyFont="1" applyBorder="1" applyAlignment="1">
      <alignment horizontal="left" vertical="center" wrapText="1"/>
    </xf>
    <xf fontId="25" fillId="34" borderId="10" numFmtId="171" xfId="0" applyNumberFormat="1" applyFont="1" applyFill="1" applyBorder="1" applyAlignment="1">
      <alignment horizontal="left" vertical="center" wrapText="1"/>
    </xf>
    <xf fontId="25" fillId="0" borderId="10" numFmtId="4" xfId="0" applyNumberFormat="1" applyFont="1" applyBorder="1" applyAlignment="1">
      <alignment horizontal="left" vertical="center" wrapText="1"/>
    </xf>
    <xf fontId="25" fillId="0" borderId="10" numFmtId="0" xfId="0" applyFont="1" applyBorder="1" applyAlignment="1">
      <alignment horizontal="center" vertical="center" wrapText="1"/>
    </xf>
    <xf fontId="33" fillId="0" borderId="0" numFmtId="3" xfId="0" applyNumberFormat="1" applyFont="1"/>
    <xf fontId="25" fillId="0" borderId="10" numFmtId="3" xfId="0" applyNumberFormat="1" applyFont="1" applyBorder="1" applyAlignment="1">
      <alignment horizontal="left" vertical="center" wrapText="1"/>
    </xf>
    <xf fontId="25" fillId="0" borderId="43" numFmtId="0" xfId="0" applyFont="1" applyBorder="1" applyAlignment="1">
      <alignment horizontal="center" vertical="center" wrapText="1"/>
    </xf>
    <xf fontId="25" fillId="0" borderId="0" numFmtId="4" xfId="0" applyNumberFormat="1" applyFont="1" applyAlignment="1">
      <alignment horizontal="center" vertical="top" wrapText="1"/>
    </xf>
    <xf fontId="25" fillId="0" borderId="44" numFmtId="0" xfId="0" applyFont="1" applyBorder="1" applyAlignment="1">
      <alignment vertical="center" wrapText="1"/>
    </xf>
    <xf fontId="25" fillId="0" borderId="45" numFmtId="0" xfId="0" applyFont="1" applyBorder="1" applyAlignment="1">
      <alignment vertical="center" wrapText="1"/>
    </xf>
    <xf fontId="25" fillId="0" borderId="42" numFmtId="171" xfId="0" applyNumberFormat="1" applyFont="1" applyBorder="1" applyAlignment="1">
      <alignment horizontal="center" vertical="center" wrapText="1"/>
    </xf>
    <xf fontId="34" fillId="34" borderId="10" numFmtId="171" xfId="0" applyNumberFormat="1" applyFont="1" applyFill="1" applyBorder="1" applyAlignment="1">
      <alignment horizontal="center" vertical="center" wrapText="1"/>
    </xf>
    <xf fontId="25" fillId="0" borderId="10" numFmtId="3" xfId="0" applyNumberFormat="1" applyFont="1" applyBorder="1" applyAlignment="1">
      <alignment horizontal="center" vertical="center" wrapText="1"/>
    </xf>
    <xf fontId="25" fillId="0" borderId="46" numFmtId="4" xfId="0" applyNumberFormat="1" applyFont="1" applyBorder="1" applyAlignment="1">
      <alignment horizontal="center" vertical="top" wrapText="1"/>
    </xf>
    <xf fontId="25" fillId="0" borderId="47" numFmtId="171" xfId="0" applyNumberFormat="1" applyFont="1" applyBorder="1" applyAlignment="1">
      <alignment horizontal="center" vertical="center" wrapText="1"/>
    </xf>
    <xf fontId="25" fillId="0" borderId="40" numFmtId="171" xfId="0" applyNumberFormat="1" applyFont="1" applyBorder="1" applyAlignment="1">
      <alignment horizontal="center" vertical="center" wrapText="1"/>
    </xf>
    <xf fontId="25" fillId="0" borderId="48" numFmtId="0" xfId="0" applyFont="1" applyBorder="1" applyAlignment="1">
      <alignment horizontal="justify" vertical="top" wrapText="1"/>
    </xf>
    <xf fontId="25" fillId="0" borderId="49" numFmtId="0" xfId="0" applyFont="1" applyBorder="1" applyAlignment="1">
      <alignment horizontal="justify" vertical="top" wrapText="1"/>
    </xf>
    <xf fontId="25" fillId="0" borderId="49" numFmtId="0" xfId="0" applyFont="1" applyBorder="1" applyAlignment="1">
      <alignment horizontal="center"/>
    </xf>
    <xf fontId="25" fillId="0" borderId="49" numFmtId="0" xfId="0" applyFont="1" applyBorder="1" applyAlignment="1">
      <alignment horizontal="center" vertical="top" wrapText="1"/>
    </xf>
    <xf fontId="25" fillId="0" borderId="49" numFmtId="171" xfId="0" applyNumberFormat="1" applyFont="1" applyBorder="1" applyAlignment="1">
      <alignment horizontal="center" vertical="center" wrapText="1"/>
    </xf>
    <xf fontId="34" fillId="34" borderId="49" numFmtId="171" xfId="0" applyNumberFormat="1" applyFont="1" applyFill="1" applyBorder="1" applyAlignment="1">
      <alignment horizontal="center" vertical="center" wrapText="1"/>
    </xf>
    <xf fontId="25" fillId="0" borderId="49" numFmtId="0" xfId="0" applyFont="1" applyBorder="1" applyAlignment="1">
      <alignment vertical="top" wrapText="1"/>
    </xf>
    <xf fontId="25" fillId="0" borderId="50" numFmtId="4" xfId="0" applyNumberFormat="1" applyFont="1" applyBorder="1" applyAlignment="1">
      <alignment horizontal="center" vertical="top" wrapText="1"/>
    </xf>
    <xf fontId="27" fillId="0" borderId="36" numFmtId="0" xfId="0" applyFont="1" applyBorder="1" applyAlignment="1">
      <alignment horizontal="right" vertical="top" wrapText="1"/>
    </xf>
    <xf fontId="27" fillId="0" borderId="51" numFmtId="0" xfId="0" applyFont="1" applyBorder="1" applyAlignment="1">
      <alignment horizontal="right" vertical="top" wrapText="1"/>
    </xf>
    <xf fontId="27" fillId="0" borderId="37" numFmtId="0" xfId="0" applyFont="1" applyBorder="1" applyAlignment="1">
      <alignment horizontal="right" vertical="top" wrapText="1"/>
    </xf>
    <xf fontId="27" fillId="0" borderId="38" numFmtId="4" xfId="0" applyNumberFormat="1" applyFont="1" applyBorder="1" applyAlignment="1">
      <alignment horizontal="right" vertical="top" wrapText="1"/>
    </xf>
    <xf fontId="25" fillId="34" borderId="52" numFmtId="0" xfId="0" applyFont="1" applyFill="1" applyBorder="1" applyAlignment="1">
      <alignment wrapText="1"/>
    </xf>
    <xf fontId="25" fillId="34" borderId="53" numFmtId="0" xfId="0" applyFont="1" applyFill="1" applyBorder="1" applyAlignment="1">
      <alignment wrapText="1"/>
    </xf>
    <xf fontId="25" fillId="34" borderId="54" numFmtId="0" xfId="0" applyFont="1" applyFill="1" applyBorder="1" applyAlignment="1">
      <alignment wrapText="1"/>
    </xf>
    <xf fontId="25" fillId="34" borderId="41" numFmtId="4" xfId="0" applyNumberFormat="1" applyFont="1" applyFill="1" applyBorder="1" applyAlignment="1">
      <alignment wrapText="1"/>
    </xf>
    <xf fontId="25" fillId="34" borderId="44" numFmtId="0" xfId="0" applyFont="1" applyFill="1" applyBorder="1" applyAlignment="1">
      <alignment wrapText="1"/>
    </xf>
    <xf fontId="25" fillId="34" borderId="29" numFmtId="0" xfId="0" applyFont="1" applyFill="1" applyBorder="1" applyAlignment="1">
      <alignment wrapText="1"/>
    </xf>
    <xf fontId="25" fillId="34" borderId="30" numFmtId="0" xfId="0" applyFont="1" applyFill="1" applyBorder="1" applyAlignment="1">
      <alignment wrapText="1"/>
    </xf>
    <xf fontId="27" fillId="34" borderId="46" numFmtId="4" xfId="0" applyNumberFormat="1" applyFont="1" applyFill="1" applyBorder="1" applyAlignment="1">
      <alignment vertical="top" wrapText="1"/>
    </xf>
    <xf fontId="27" fillId="34" borderId="0" numFmtId="4" xfId="0" applyNumberFormat="1" applyFont="1" applyFill="1" applyAlignment="1">
      <alignment vertical="top" wrapText="1"/>
    </xf>
    <xf fontId="25" fillId="34" borderId="46" numFmtId="172" xfId="0" applyNumberFormat="1" applyFont="1" applyFill="1" applyBorder="1" applyAlignment="1">
      <alignment vertical="top" wrapText="1"/>
    </xf>
    <xf fontId="33" fillId="0" borderId="0" numFmtId="4" xfId="0" applyNumberFormat="1" applyFont="1"/>
    <xf fontId="25" fillId="34" borderId="0" numFmtId="4" xfId="0" applyNumberFormat="1" applyFont="1" applyFill="1" applyAlignment="1">
      <alignment vertical="top" wrapText="1"/>
    </xf>
    <xf fontId="25" fillId="34" borderId="44" numFmtId="0" xfId="0" applyFont="1" applyFill="1" applyBorder="1" applyAlignment="1">
      <alignment horizontal="left" wrapText="1"/>
    </xf>
    <xf fontId="25" fillId="34" borderId="29" numFmtId="0" xfId="0" applyFont="1" applyFill="1" applyBorder="1" applyAlignment="1">
      <alignment horizontal="left" wrapText="1"/>
    </xf>
    <xf fontId="25" fillId="34" borderId="30" numFmtId="0" xfId="0" applyFont="1" applyFill="1" applyBorder="1" applyAlignment="1">
      <alignment horizontal="left" wrapText="1"/>
    </xf>
    <xf fontId="25" fillId="34" borderId="46" numFmtId="4" xfId="0" applyNumberFormat="1" applyFont="1" applyFill="1" applyBorder="1" applyAlignment="1">
      <alignment vertical="top" wrapText="1"/>
    </xf>
    <xf fontId="27" fillId="34" borderId="44" numFmtId="0" xfId="0" applyFont="1" applyFill="1" applyBorder="1" applyAlignment="1">
      <alignment wrapText="1"/>
    </xf>
    <xf fontId="27" fillId="34" borderId="29" numFmtId="0" xfId="0" applyFont="1" applyFill="1" applyBorder="1" applyAlignment="1">
      <alignment wrapText="1"/>
    </xf>
    <xf fontId="27" fillId="34" borderId="30" numFmtId="0" xfId="0" applyFont="1" applyFill="1" applyBorder="1" applyAlignment="1">
      <alignment wrapText="1"/>
    </xf>
    <xf fontId="27" fillId="34" borderId="44" numFmtId="0" xfId="0" applyFont="1" applyFill="1" applyBorder="1" applyAlignment="1">
      <alignment horizontal="left" wrapText="1"/>
    </xf>
    <xf fontId="27" fillId="34" borderId="29" numFmtId="0" xfId="0" applyFont="1" applyFill="1" applyBorder="1" applyAlignment="1">
      <alignment horizontal="left" wrapText="1"/>
    </xf>
    <xf fontId="27" fillId="34" borderId="30" numFmtId="0" xfId="0" applyFont="1" applyFill="1" applyBorder="1" applyAlignment="1">
      <alignment horizontal="left" wrapText="1"/>
    </xf>
    <xf fontId="28" fillId="0" borderId="0" numFmtId="4" xfId="0" applyNumberFormat="1" applyFont="1"/>
    <xf fontId="27" fillId="34" borderId="55" numFmtId="0" xfId="0" applyFont="1" applyFill="1" applyBorder="1" applyAlignment="1">
      <alignment wrapText="1"/>
    </xf>
    <xf fontId="27" fillId="34" borderId="15" numFmtId="0" xfId="0" applyFont="1" applyFill="1" applyBorder="1" applyAlignment="1">
      <alignment wrapText="1"/>
    </xf>
    <xf fontId="27" fillId="34" borderId="17" numFmtId="0" xfId="0" applyFont="1" applyFill="1" applyBorder="1" applyAlignment="1">
      <alignment wrapText="1"/>
    </xf>
    <xf fontId="27" fillId="34" borderId="56" numFmtId="4" xfId="0" applyNumberFormat="1" applyFont="1" applyFill="1" applyBorder="1" applyAlignment="1">
      <alignment vertical="top" wrapText="1"/>
    </xf>
    <xf fontId="25" fillId="34" borderId="28" numFmtId="0" xfId="0" applyFont="1" applyFill="1" applyBorder="1" applyAlignment="1">
      <alignment wrapText="1"/>
    </xf>
    <xf fontId="27" fillId="34" borderId="48" numFmtId="0" xfId="0" applyFont="1" applyFill="1" applyBorder="1" applyAlignment="1">
      <alignment wrapText="1"/>
    </xf>
    <xf fontId="27" fillId="34" borderId="49" numFmtId="0" xfId="0" applyFont="1" applyFill="1" applyBorder="1" applyAlignment="1">
      <alignment wrapText="1"/>
    </xf>
    <xf fontId="27" fillId="34" borderId="57" numFmtId="0" xfId="0" applyFont="1" applyFill="1" applyBorder="1" applyAlignment="1">
      <alignment wrapText="1"/>
    </xf>
    <xf fontId="27" fillId="0" borderId="58" numFmtId="4" xfId="0" applyNumberFormat="1" applyFont="1" applyBorder="1" applyAlignment="1">
      <alignment vertical="top" wrapText="1"/>
    </xf>
    <xf fontId="28" fillId="0" borderId="23" numFmtId="0" xfId="0" applyFont="1" applyBorder="1" applyAlignment="1">
      <alignment wrapText="1"/>
    </xf>
    <xf fontId="25" fillId="0" borderId="0" numFmtId="0" xfId="0" applyFont="1" applyAlignment="1">
      <alignment horizontal="left" vertical="center" wrapText="1"/>
      <protection hidden="0" locked="1"/>
    </xf>
    <xf fontId="0" fillId="35" borderId="0" numFmtId="0" xfId="0" applyFill="1"/>
    <xf fontId="0" fillId="0" borderId="10" numFmtId="0" xfId="0" applyBorder="1"/>
    <xf fontId="25" fillId="0" borderId="10" numFmtId="0" xfId="0" applyFont="1" applyBorder="1" applyAlignment="1">
      <alignment horizontal="left"/>
    </xf>
    <xf fontId="25" fillId="0" borderId="10" numFmtId="4" xfId="0" applyNumberFormat="1" applyFont="1" applyBorder="1" applyAlignment="1">
      <alignment horizontal="left"/>
    </xf>
    <xf fontId="35" fillId="0" borderId="59" numFmtId="0" xfId="0" applyFont="1" applyBorder="1" applyAlignment="1">
      <alignment horizontal="center" vertical="center" wrapText="1"/>
    </xf>
    <xf fontId="36" fillId="0" borderId="59" numFmtId="0" xfId="0" applyFont="1" applyBorder="1" applyAlignment="1">
      <alignment horizontal="justify" vertical="center"/>
    </xf>
    <xf fontId="0" fillId="0" borderId="60" numFmtId="0" xfId="0" applyBorder="1">
      <protection hidden="0" locked="1"/>
    </xf>
    <xf fontId="25" fillId="0" borderId="0" numFmtId="0" xfId="0" applyFont="1" applyAlignment="1">
      <alignment horizontal="center" vertical="center" wrapText="1"/>
    </xf>
    <xf fontId="28" fillId="0" borderId="0" numFmtId="0" xfId="0" applyFont="1" applyAlignment="1">
      <alignment vertical="top" wrapText="1"/>
    </xf>
    <xf fontId="28" fillId="0" borderId="0" numFmtId="0" xfId="0" applyFont="1" applyAlignment="1">
      <alignment vertical="top"/>
    </xf>
    <xf fontId="36" fillId="0" borderId="0" numFmtId="0" xfId="0" applyFont="1" applyAlignment="1">
      <alignment wrapText="1"/>
    </xf>
    <xf fontId="0" fillId="0" borderId="0" numFmtId="0" xfId="0" applyAlignment="1">
      <alignment vertical="top"/>
    </xf>
    <xf fontId="29" fillId="0" borderId="10" numFmtId="0" xfId="0" applyFont="1" applyBorder="1" applyAlignment="1">
      <alignment horizontal="left" vertical="center" wrapText="1"/>
      <protection hidden="0" locked="1"/>
    </xf>
    <xf fontId="29" fillId="0" borderId="10" numFmtId="0" xfId="0" applyFont="1" applyBorder="1" applyAlignment="1">
      <alignment horizontal="center" vertical="center" wrapText="1"/>
      <protection hidden="0" locked="1"/>
    </xf>
    <xf fontId="25" fillId="0" borderId="0" numFmtId="0" xfId="0" applyFont="1" applyAlignment="1">
      <alignment horizontal="center" vertical="center" wrapText="1"/>
      <protection hidden="0" locked="1"/>
    </xf>
    <xf fontId="0" fillId="0" borderId="0" numFmtId="0" xfId="0">
      <protection hidden="0" locked="1"/>
    </xf>
  </cellXfs>
  <cellStyles count="49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2</xdr:row>
      <xdr:rowOff>0</xdr:rowOff>
    </xdr:from>
    <xdr:ext cx="12563473" cy="7524749"/>
    <xdr:pic>
      <xdr:nvPicPr>
        <xdr:cNvPr id="121706767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380999"/>
          <a:ext cx="12563474" cy="752474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6797E7A3-AF27-C443-F69F-91AF521593F1}"/>
  <person displayName="Наталья Заборовская" id="{5E0D0824-E0B4-1E56-A605-EF644E98CC3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personId="{6797E7A3-AF27-C443-F69F-91AF521593F1}" id="{3AAECF60-C511-EB79-8549-2CEA0DEA6E71}" done="0">
    <text xml:space="preserve">Наталья Заборовская:
пречислить верхнеуровневые риски - 3-5
</text>
  </threadedComment>
  <threadedComment ref="A6" personId="{5E0D0824-E0B4-1E56-A605-EF644E98CC3E}" id="{008B0096-002F-4BB6-B692-00D2002F006B}" done="0">
    <text xml:space="preserve">Определяем достижение цели через количественные показатели - минимум 3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6797E7A3-AF27-C443-F69F-91AF521593F1}" id="{20CCCDD9-EC7C-F606-D4A3-A95821014B27}" done="0">
    <text xml:space="preserve">Наталья Заборовская:
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6797E7A3-AF27-C443-F69F-91AF521593F1}" id="{59873D8E-AC83-C4A9-EE0E-167176948FCD}" done="0">
    <text xml:space="preserve">Наталья Заборовская:
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6797E7A3-AF27-C443-F69F-91AF521593F1}" id="{079DEF54-F22F-7756-67A8-D357A9051819}" done="0">
    <text xml:space="preserve">Наталья Заборовская:
Итоговая стоимость по техническим ограничениям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personId="{5E0D0824-E0B4-1E56-A605-EF644E98CC3E}" id="{9DBA13F6-54AE-24C8-3D54-9DE274BD5EC5}" done="0">
    <text xml:space="preserve">почему это может произойти?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5" personId="{5E0D0824-E0B4-1E56-A605-EF644E98CC3E}" id="{8F1EE7AD-C0EB-361C-4E54-B55280C05304}" done="0">
    <text xml:space="preserve">Получает регулярные обновления о статусе уточнения требований для корректировки планов
</text>
  </threadedComment>
  <threadedComment ref="C5" personId="{5E0D0824-E0B4-1E56-A605-EF644E98CC3E}" id="{CE67BEAA-F6E7-B978-580A-2B7893C61786}" done="0">
    <text xml:space="preserve">Консультирует о реализуемости интерфейсных решений, предлагает прототипы для уточнения
</text>
  </threadedComment>
  <threadedComment ref="D5" personId="{5E0D0824-E0B4-1E56-A605-EF644E98CC3E}" id="{F968B835-7612-6291-F8F8-FC6D823E7EF7}" done="0">
    <text xml:space="preserve">Оценивает техническую реализуемость API и логики с точки зрения архитектуры
</text>
  </threadedComment>
  <threadedComment ref="E5" personId="{5E0D0824-E0B4-1E56-A605-EF644E98CC3E}" id="{417785EC-4884-ACCE-72AA-0B7219B998D7}" done="0">
    <text xml:space="preserve">Отвечает за полноту, непротиворечивость и формализацию требований, финализирует спецификацию
</text>
  </threadedComment>
  <threadedComment ref="F5" personId="{5E0D0824-E0B4-1E56-A605-EF644E98CC3E}" id="{6C417BF5-DE07-0698-AAF2-F8C13C1BFC5C}" done="0">
    <text xml:space="preserve">(Документирует требования и пользовательские сценарии на понятном для команды языке
</text>
  </threadedComment>
  <threadedComment ref="G5" personId="{5E0D0824-E0B4-1E56-A605-EF644E98CC3E}" id="{7A2408D7-D9B4-4ABD-3B83-06D41BA8E58A}" done="0">
    <text xml:space="preserve">Консультирует по инфраструктурным требованиям и ограничениям, влияющим на развертывание
</text>
  </threadedComment>
  <threadedComment ref="H5" personId="{5E0D0824-E0B4-1E56-A605-EF644E98CC3E}" id="{F1DED64E-D08E-B5AE-C6CD-A85C8671A463}" done="0">
    <text xml:space="preserve">Помогает сформулировать критерии приемки, чтобы требования были тестируемыми
</text>
  </threadedComment>
  <threadedComment ref="I5" personId="{5E0D0824-E0B4-1E56-A605-EF644E98CC3E}" id="{7CB5543B-36F0-4F6C-C70C-074B6F2AA6B2}" done="0">
    <text xml:space="preserve">Создает интерактивные прототипы и визуализации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6" zoomScale="70" workbookViewId="0">
      <selection activeCell="E9" activeCellId="0" sqref="E9"/>
    </sheetView>
  </sheetViews>
  <sheetFormatPr baseColWidth="8" defaultRowHeight="15.050000000000001" customHeight="1"/>
  <cols>
    <col customWidth="1" min="1" max="1" width="53.726599999999998"/>
    <col customWidth="1" min="2" max="2" width="75.906199999999998"/>
    <col customWidth="1" min="3" max="3" width="29.542999999999999"/>
    <col customWidth="1" min="4" max="4" width="29"/>
    <col customWidth="1" min="5" max="5" width="20.816400000000002"/>
  </cols>
  <sheetData>
    <row r="1" ht="16.5">
      <c r="A1" s="1" t="s">
        <v>0</v>
      </c>
      <c r="B1" s="2" t="s">
        <v>1</v>
      </c>
    </row>
    <row r="2" ht="16.5">
      <c r="A2" s="1" t="s">
        <v>2</v>
      </c>
      <c r="B2" s="2" t="s">
        <v>3</v>
      </c>
    </row>
    <row r="3" ht="16.5">
      <c r="A3" s="1" t="s">
        <v>4</v>
      </c>
      <c r="B3" s="2"/>
    </row>
    <row r="4" ht="132">
      <c r="A4" s="1" t="s">
        <v>5</v>
      </c>
      <c r="B4" s="2" t="s">
        <v>6</v>
      </c>
    </row>
    <row r="5" ht="49.5" customHeight="1">
      <c r="A5" s="1" t="s">
        <v>7</v>
      </c>
      <c r="B5" s="2" t="s">
        <v>8</v>
      </c>
      <c r="C5" s="3"/>
      <c r="D5" s="3"/>
    </row>
    <row r="6" ht="99">
      <c r="A6" s="4" t="s">
        <v>9</v>
      </c>
      <c r="B6" s="5" t="s">
        <v>10</v>
      </c>
      <c r="C6" s="3"/>
      <c r="D6" s="3"/>
    </row>
    <row r="7" ht="148.5">
      <c r="A7" s="6" t="s">
        <v>11</v>
      </c>
      <c r="B7" s="7" t="s">
        <v>12</v>
      </c>
      <c r="C7" s="8" t="s">
        <v>13</v>
      </c>
      <c r="D7" s="9" t="s">
        <v>14</v>
      </c>
      <c r="E7" s="9" t="s">
        <v>15</v>
      </c>
    </row>
    <row r="8" ht="75">
      <c r="A8" s="10" t="s">
        <v>16</v>
      </c>
      <c r="B8" s="11" t="s">
        <v>17</v>
      </c>
      <c r="C8" s="12" t="s">
        <v>18</v>
      </c>
      <c r="D8" s="13" t="s">
        <v>19</v>
      </c>
      <c r="E8" s="14" t="s">
        <v>20</v>
      </c>
      <c r="F8" s="15"/>
    </row>
    <row r="9" ht="50.75" customHeight="1">
      <c r="A9" s="16"/>
      <c r="B9" s="11" t="s">
        <v>21</v>
      </c>
      <c r="C9" s="17" t="s">
        <v>22</v>
      </c>
      <c r="D9" s="11" t="s">
        <v>23</v>
      </c>
      <c r="E9" s="18" t="s">
        <v>24</v>
      </c>
      <c r="F9" s="11"/>
    </row>
    <row r="10" ht="75">
      <c r="A10" s="16"/>
      <c r="B10" s="11" t="s">
        <v>25</v>
      </c>
      <c r="C10" s="17" t="s">
        <v>26</v>
      </c>
      <c r="D10" s="11" t="s">
        <v>27</v>
      </c>
      <c r="E10" s="18" t="s">
        <v>28</v>
      </c>
      <c r="F10" s="11"/>
    </row>
    <row r="11" ht="75">
      <c r="A11" s="16"/>
      <c r="B11" s="11" t="s">
        <v>29</v>
      </c>
      <c r="C11" s="17" t="s">
        <v>30</v>
      </c>
      <c r="D11" s="11" t="s">
        <v>31</v>
      </c>
      <c r="E11" s="18" t="s">
        <v>32</v>
      </c>
      <c r="F11" s="11"/>
    </row>
    <row r="12" ht="75">
      <c r="A12" s="16"/>
      <c r="B12" s="11" t="s">
        <v>33</v>
      </c>
      <c r="C12" s="17" t="s">
        <v>34</v>
      </c>
      <c r="D12" s="11" t="s">
        <v>35</v>
      </c>
      <c r="E12" s="18" t="s">
        <v>36</v>
      </c>
      <c r="F12" s="11"/>
    </row>
    <row r="13" ht="45">
      <c r="A13" s="16"/>
      <c r="B13" s="11" t="s">
        <v>37</v>
      </c>
      <c r="C13" s="17" t="s">
        <v>38</v>
      </c>
      <c r="D13" s="11" t="s">
        <v>39</v>
      </c>
      <c r="E13" s="18" t="s">
        <v>40</v>
      </c>
      <c r="F13" s="11"/>
    </row>
    <row r="14" ht="75">
      <c r="A14" s="16"/>
      <c r="B14" s="11" t="s">
        <v>41</v>
      </c>
      <c r="C14" s="17" t="s">
        <v>42</v>
      </c>
      <c r="D14" s="11" t="s">
        <v>43</v>
      </c>
      <c r="E14" s="18" t="s">
        <v>44</v>
      </c>
      <c r="F14" s="11"/>
    </row>
    <row r="15" ht="60">
      <c r="A15" s="16"/>
      <c r="B15" s="11" t="s">
        <v>45</v>
      </c>
      <c r="C15" s="19" t="s">
        <v>46</v>
      </c>
      <c r="D15" s="20" t="s">
        <v>47</v>
      </c>
      <c r="E15" s="21" t="s">
        <v>48</v>
      </c>
      <c r="F15" s="11"/>
    </row>
    <row r="16" ht="99">
      <c r="A16" s="1" t="s">
        <v>49</v>
      </c>
      <c r="B16" s="2" t="s">
        <v>50</v>
      </c>
      <c r="F16" s="11"/>
    </row>
    <row r="17" ht="16.5">
      <c r="A17" s="1" t="s">
        <v>51</v>
      </c>
      <c r="B17" s="22" t="s">
        <v>52</v>
      </c>
    </row>
    <row r="18" ht="16.5">
      <c r="A18" s="1" t="s">
        <v>53</v>
      </c>
      <c r="B18" s="23" t="s">
        <v>54</v>
      </c>
    </row>
    <row r="19" ht="99">
      <c r="A19" s="1" t="s">
        <v>55</v>
      </c>
      <c r="B19" s="2" t="s">
        <v>56</v>
      </c>
    </row>
    <row r="20" ht="16.5">
      <c r="A20" s="1" t="s">
        <v>57</v>
      </c>
      <c r="B20" s="24">
        <v>2451262.8399999999</v>
      </c>
    </row>
    <row r="21" ht="132">
      <c r="A21" s="1" t="s">
        <v>58</v>
      </c>
      <c r="B21" s="2" t="s">
        <v>59</v>
      </c>
    </row>
    <row r="22" ht="66">
      <c r="A22" s="1" t="s">
        <v>60</v>
      </c>
      <c r="B22" s="2" t="s">
        <v>61</v>
      </c>
    </row>
    <row r="23" ht="15.050000000000001" customHeight="1">
      <c r="A23" s="1" t="s">
        <v>62</v>
      </c>
      <c r="B23" s="2" t="s">
        <v>63</v>
      </c>
    </row>
  </sheetData>
  <mergeCells count="1">
    <mergeCell ref="A8:A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G19"/>
    </sheetView>
  </sheetViews>
  <sheetFormatPr baseColWidth="8" defaultRowHeight="15.050000000000001" customHeight="1"/>
  <sheetData>
    <row r="1" ht="15.050000000000001">
      <c r="A1" s="25" t="s">
        <v>64</v>
      </c>
    </row>
    <row r="3" ht="15.050000000000001" customHeight="1">
      <c r="A3" s="2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9" activeCellId="0" sqref="A19"/>
    </sheetView>
  </sheetViews>
  <sheetFormatPr baseColWidth="8" defaultRowHeight="15.050000000000001" customHeight="1"/>
  <cols>
    <col customWidth="1" min="1" max="1" width="44.816400000000002"/>
    <col customWidth="1" min="2" max="2" width="20.99609375"/>
  </cols>
  <sheetData>
    <row r="1" ht="15.050000000000001">
      <c r="A1" s="27" t="s">
        <v>65</v>
      </c>
      <c r="B1" s="27" t="s">
        <v>66</v>
      </c>
    </row>
    <row r="2" ht="15.050000000000001">
      <c r="A2" s="11" t="s">
        <v>67</v>
      </c>
      <c r="B2" s="11" t="s">
        <v>68</v>
      </c>
    </row>
    <row r="3" ht="30">
      <c r="A3" s="11" t="s">
        <v>69</v>
      </c>
      <c r="B3" s="11" t="s">
        <v>70</v>
      </c>
    </row>
    <row r="4" ht="30">
      <c r="A4" s="11" t="s">
        <v>71</v>
      </c>
      <c r="B4" s="11" t="s">
        <v>72</v>
      </c>
    </row>
    <row r="5" ht="45">
      <c r="A5" s="11" t="s">
        <v>73</v>
      </c>
      <c r="B5" s="11" t="s">
        <v>74</v>
      </c>
    </row>
    <row r="6" ht="30">
      <c r="A6" s="11" t="s">
        <v>75</v>
      </c>
      <c r="B6" s="11" t="s">
        <v>76</v>
      </c>
    </row>
    <row r="7" ht="30">
      <c r="A7" s="11" t="s">
        <v>77</v>
      </c>
      <c r="B7" s="11" t="s">
        <v>78</v>
      </c>
    </row>
    <row r="8" ht="30">
      <c r="A8" s="11" t="s">
        <v>79</v>
      </c>
      <c r="B8" s="11" t="s">
        <v>80</v>
      </c>
    </row>
    <row r="9" ht="30">
      <c r="A9" s="11" t="s">
        <v>81</v>
      </c>
      <c r="B9" s="11" t="s">
        <v>82</v>
      </c>
    </row>
    <row r="10" ht="30">
      <c r="A10" s="11" t="s">
        <v>83</v>
      </c>
      <c r="B10" s="11" t="s">
        <v>84</v>
      </c>
    </row>
    <row r="11" ht="30">
      <c r="A11" s="11" t="s">
        <v>85</v>
      </c>
      <c r="B11" s="11" t="s">
        <v>86</v>
      </c>
    </row>
    <row r="12" ht="30">
      <c r="A12" s="11" t="s">
        <v>87</v>
      </c>
      <c r="B12" s="11" t="s">
        <v>88</v>
      </c>
    </row>
    <row r="13" ht="30">
      <c r="A13" s="11" t="s">
        <v>89</v>
      </c>
      <c r="B13" s="11" t="s">
        <v>90</v>
      </c>
    </row>
    <row r="14" ht="15.050000000000001">
      <c r="A14" s="27"/>
      <c r="B14" s="27"/>
    </row>
    <row r="15" ht="15.050000000000001">
      <c r="A15" s="27"/>
      <c r="B15" s="27"/>
    </row>
    <row r="16" ht="15.050000000000001">
      <c r="A16" s="27"/>
      <c r="B16" s="27"/>
    </row>
    <row r="17" ht="15.050000000000001">
      <c r="A17" s="27"/>
      <c r="B17" s="27"/>
    </row>
    <row r="18" ht="15.050000000000001">
      <c r="A18" s="27"/>
      <c r="B18" s="27"/>
    </row>
    <row r="19" ht="15.050000000000001">
      <c r="A19" s="27"/>
      <c r="B19" s="2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"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0898399999999997"/>
    <col bestFit="1" customWidth="1" min="2" max="2" width="20.265625"/>
    <col bestFit="1" min="3" max="3" width="10.1640625"/>
  </cols>
  <sheetData>
    <row r="1" ht="15.050000000000001">
      <c r="A1" s="27" t="s">
        <v>91</v>
      </c>
      <c r="B1" s="27" t="s">
        <v>92</v>
      </c>
      <c r="C1" s="27" t="s">
        <v>93</v>
      </c>
    </row>
    <row r="2" ht="60">
      <c r="A2" s="11">
        <v>1</v>
      </c>
      <c r="B2" s="11" t="s">
        <v>94</v>
      </c>
      <c r="C2" s="11" t="s">
        <v>95</v>
      </c>
    </row>
    <row r="3" ht="75">
      <c r="A3" s="11">
        <v>2</v>
      </c>
      <c r="B3" s="11" t="s">
        <v>96</v>
      </c>
      <c r="C3" s="11" t="s">
        <v>97</v>
      </c>
    </row>
    <row r="4" ht="105">
      <c r="A4" s="11">
        <v>3</v>
      </c>
      <c r="B4" s="11" t="s">
        <v>98</v>
      </c>
      <c r="C4" s="11" t="s">
        <v>99</v>
      </c>
    </row>
    <row r="5" ht="75">
      <c r="A5" s="11">
        <v>4</v>
      </c>
      <c r="B5" s="11" t="s">
        <v>100</v>
      </c>
      <c r="C5" s="11" t="s">
        <v>101</v>
      </c>
    </row>
    <row r="6" ht="75">
      <c r="A6" s="11">
        <v>5</v>
      </c>
      <c r="B6" s="11" t="s">
        <v>102</v>
      </c>
      <c r="C6" s="11" t="s">
        <v>103</v>
      </c>
    </row>
    <row r="7" ht="75">
      <c r="A7" s="11">
        <v>6</v>
      </c>
      <c r="B7" s="11" t="s">
        <v>104</v>
      </c>
      <c r="C7" s="11" t="s">
        <v>105</v>
      </c>
    </row>
    <row r="8" ht="62.25" customHeight="1">
      <c r="A8" s="11">
        <v>7</v>
      </c>
      <c r="B8" s="11" t="s">
        <v>106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3632799999999996"/>
    <col customWidth="1" min="2" max="2" width="32.363300000000002"/>
    <col customWidth="1" min="3" max="3" width="18.906199999999998"/>
  </cols>
  <sheetData>
    <row r="1" ht="15.050000000000001">
      <c r="A1" s="27" t="s">
        <v>91</v>
      </c>
      <c r="B1" s="27" t="s">
        <v>92</v>
      </c>
      <c r="C1" s="27" t="s">
        <v>66</v>
      </c>
    </row>
    <row r="2" ht="45">
      <c r="A2" s="11">
        <v>1</v>
      </c>
      <c r="B2" s="11" t="s">
        <v>107</v>
      </c>
      <c r="C2" s="11" t="s">
        <v>97</v>
      </c>
    </row>
    <row r="3" ht="45">
      <c r="A3" s="11">
        <v>2</v>
      </c>
      <c r="B3" s="11" t="s">
        <v>108</v>
      </c>
      <c r="C3" s="11" t="s">
        <v>99</v>
      </c>
    </row>
    <row r="4" ht="60">
      <c r="A4" s="11">
        <v>3</v>
      </c>
      <c r="B4" s="11" t="s">
        <v>109</v>
      </c>
      <c r="C4" s="11" t="s">
        <v>101</v>
      </c>
    </row>
    <row r="5" ht="45">
      <c r="A5" s="11">
        <v>4</v>
      </c>
      <c r="B5" s="11" t="s">
        <v>110</v>
      </c>
      <c r="C5" s="11" t="s">
        <v>103</v>
      </c>
    </row>
    <row r="6" ht="60">
      <c r="A6" s="11">
        <v>5</v>
      </c>
      <c r="B6" s="11" t="s">
        <v>111</v>
      </c>
      <c r="C6" s="11" t="s">
        <v>105</v>
      </c>
    </row>
    <row r="7" ht="45">
      <c r="A7" s="11">
        <v>6</v>
      </c>
      <c r="B7" s="11" t="s">
        <v>112</v>
      </c>
      <c r="C7" s="28">
        <v>46203</v>
      </c>
    </row>
    <row r="8" ht="78.75" customHeight="1">
      <c r="A8" s="11">
        <v>7</v>
      </c>
      <c r="B8" s="11" t="s">
        <v>113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2" activeCellId="0" sqref="D2"/>
    </sheetView>
  </sheetViews>
  <sheetFormatPr baseColWidth="8" defaultRowHeight="15.050000000000001" customHeight="1"/>
  <cols>
    <col customWidth="1" min="1" max="1" width="11.9062"/>
    <col customWidth="1" min="2" max="2" width="40.906199999999998"/>
    <col customWidth="1" min="3" max="3" width="29.0898"/>
  </cols>
  <sheetData>
    <row r="1" ht="15.65">
      <c r="A1" s="29" t="s">
        <v>114</v>
      </c>
      <c r="B1" s="29" t="s">
        <v>115</v>
      </c>
      <c r="C1" s="29" t="s">
        <v>116</v>
      </c>
    </row>
    <row r="2" ht="47">
      <c r="A2" s="30">
        <v>1</v>
      </c>
      <c r="B2" s="30" t="s">
        <v>117</v>
      </c>
      <c r="C2" s="30" t="s">
        <v>118</v>
      </c>
    </row>
    <row r="3" ht="15.65">
      <c r="A3" s="31">
        <v>2</v>
      </c>
      <c r="B3" s="31" t="s">
        <v>119</v>
      </c>
      <c r="C3" s="31" t="s">
        <v>120</v>
      </c>
    </row>
    <row r="4" ht="15.65">
      <c r="A4" s="31">
        <v>3</v>
      </c>
      <c r="B4" s="31" t="s">
        <v>121</v>
      </c>
      <c r="C4" s="31" t="s">
        <v>122</v>
      </c>
    </row>
    <row r="5" ht="15.65">
      <c r="A5" s="31">
        <v>4</v>
      </c>
      <c r="B5" s="31" t="s">
        <v>123</v>
      </c>
      <c r="C5" s="31" t="s">
        <v>124</v>
      </c>
    </row>
    <row r="6" ht="15.65">
      <c r="A6" s="32">
        <v>5</v>
      </c>
      <c r="B6" s="32" t="s">
        <v>125</v>
      </c>
      <c r="C6" s="32" t="s">
        <v>126</v>
      </c>
    </row>
    <row r="7" ht="15.65">
      <c r="A7" s="33"/>
      <c r="B7" s="33"/>
      <c r="C7" s="33"/>
    </row>
    <row r="8" ht="15.65">
      <c r="A8" s="33"/>
      <c r="B8" s="33"/>
      <c r="C8" s="33"/>
    </row>
    <row r="9" ht="15.65">
      <c r="A9" s="33"/>
      <c r="B9" s="33"/>
      <c r="C9" s="33"/>
    </row>
    <row r="10" ht="15.65">
      <c r="A10" s="33"/>
      <c r="B10" s="33"/>
      <c r="C10" s="33"/>
    </row>
    <row r="11" ht="15.050000000000001">
      <c r="A11" s="3"/>
      <c r="B11" s="3"/>
      <c r="C11" s="3"/>
    </row>
    <row r="12" ht="15.050000000000001">
      <c r="A12" s="3"/>
      <c r="B12" s="3"/>
      <c r="C12" s="3"/>
    </row>
    <row r="13" ht="15.050000000000001">
      <c r="A13" s="3"/>
      <c r="B13" s="3"/>
      <c r="C13" s="3"/>
    </row>
    <row r="14" ht="15.050000000000001">
      <c r="A14" s="3"/>
      <c r="B14" s="3"/>
      <c r="C14" s="3"/>
    </row>
    <row r="15" ht="15.050000000000001">
      <c r="A15" s="3"/>
      <c r="B15" s="3"/>
      <c r="C15" s="3"/>
    </row>
    <row r="16" ht="15.050000000000001">
      <c r="A16" s="3"/>
      <c r="B16" s="3"/>
      <c r="C16" s="3"/>
    </row>
    <row r="17" ht="15.050000000000001">
      <c r="A17" s="3"/>
      <c r="B17" s="3"/>
      <c r="C17" s="3"/>
    </row>
    <row r="18" ht="15.050000000000001">
      <c r="A18" s="3"/>
      <c r="B18" s="3"/>
      <c r="C18" s="3"/>
    </row>
    <row r="19" ht="15.050000000000001">
      <c r="A19" s="3"/>
      <c r="B19" s="3"/>
      <c r="C19" s="3"/>
    </row>
    <row r="20" ht="15.050000000000001">
      <c r="A20" s="3"/>
      <c r="B20" s="3"/>
      <c r="C20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4" zoomScale="100" workbookViewId="0">
      <selection activeCell="B28" activeCellId="0" sqref="B27:B28"/>
    </sheetView>
  </sheetViews>
  <sheetFormatPr baseColWidth="8" defaultRowHeight="15.050000000000001" customHeight="1"/>
  <cols>
    <col customWidth="1" min="1" max="1" style="34" width="3.8164099999999999"/>
    <col customWidth="1" min="2" max="2" style="34" width="19.726600000000001"/>
    <col customWidth="1" min="3" max="3" style="34" width="24.4453125"/>
    <col customWidth="1" min="4" max="4" style="34" width="18"/>
    <col customWidth="1" min="5" max="5" style="34" width="17"/>
    <col customWidth="1" min="6" max="6" style="34" width="8.7265599999999992"/>
    <col bestFit="1" min="9" max="9" width="11.1953125"/>
    <col customWidth="1" min="10" max="10" width="41.6640625"/>
    <col bestFit="1" customWidth="1" min="11" max="11" width="12.3046875"/>
  </cols>
  <sheetData>
    <row r="1" ht="30">
      <c r="A1" s="35" t="s">
        <v>91</v>
      </c>
      <c r="B1" s="35" t="s">
        <v>127</v>
      </c>
      <c r="C1" s="35" t="s">
        <v>128</v>
      </c>
      <c r="D1" s="35" t="s">
        <v>129</v>
      </c>
      <c r="E1" s="35" t="s">
        <v>130</v>
      </c>
      <c r="H1" s="36"/>
      <c r="I1" s="37" t="s">
        <v>131</v>
      </c>
      <c r="J1" s="37" t="s">
        <v>132</v>
      </c>
      <c r="K1" s="37" t="s">
        <v>133</v>
      </c>
    </row>
    <row r="2" ht="90">
      <c r="A2" s="30">
        <v>1</v>
      </c>
      <c r="B2" s="30" t="s">
        <v>134</v>
      </c>
      <c r="C2" s="30">
        <v>1</v>
      </c>
      <c r="D2" s="30">
        <v>100</v>
      </c>
      <c r="E2" s="38">
        <v>2.5</v>
      </c>
      <c r="H2" s="39">
        <v>1</v>
      </c>
      <c r="I2" s="40" t="s">
        <v>135</v>
      </c>
      <c r="J2" s="40" t="s">
        <v>136</v>
      </c>
      <c r="K2" s="40" t="s">
        <v>137</v>
      </c>
    </row>
    <row r="3" ht="135">
      <c r="A3" s="31">
        <v>2</v>
      </c>
      <c r="B3" s="31" t="s">
        <v>138</v>
      </c>
      <c r="C3" s="31">
        <v>1</v>
      </c>
      <c r="D3" s="31">
        <v>90</v>
      </c>
      <c r="E3" s="41">
        <v>1</v>
      </c>
      <c r="H3" s="39">
        <v>2</v>
      </c>
      <c r="I3" s="40" t="s">
        <v>134</v>
      </c>
      <c r="J3" s="40" t="s">
        <v>139</v>
      </c>
      <c r="K3" s="40" t="s">
        <v>137</v>
      </c>
    </row>
    <row r="4" ht="90">
      <c r="A4" s="31">
        <v>3</v>
      </c>
      <c r="B4" s="31" t="s">
        <v>140</v>
      </c>
      <c r="C4" s="31">
        <v>1</v>
      </c>
      <c r="D4" s="31">
        <v>140</v>
      </c>
      <c r="E4" s="41">
        <v>1.5</v>
      </c>
      <c r="H4" s="39">
        <v>3</v>
      </c>
      <c r="I4" s="40" t="s">
        <v>138</v>
      </c>
      <c r="J4" s="40" t="s">
        <v>141</v>
      </c>
      <c r="K4" s="40" t="s">
        <v>137</v>
      </c>
    </row>
    <row r="5" ht="105">
      <c r="A5" s="31">
        <v>4</v>
      </c>
      <c r="B5" s="31" t="s">
        <v>142</v>
      </c>
      <c r="C5" s="31">
        <v>1</v>
      </c>
      <c r="D5" s="31">
        <v>130</v>
      </c>
      <c r="E5" s="41">
        <v>1.5</v>
      </c>
      <c r="H5" s="39">
        <v>4</v>
      </c>
      <c r="I5" s="40" t="s">
        <v>140</v>
      </c>
      <c r="J5" s="40" t="s">
        <v>143</v>
      </c>
      <c r="K5" s="40" t="s">
        <v>137</v>
      </c>
    </row>
    <row r="6" ht="105">
      <c r="A6" s="31">
        <v>5</v>
      </c>
      <c r="B6" s="31" t="s">
        <v>144</v>
      </c>
      <c r="C6" s="31">
        <v>1</v>
      </c>
      <c r="D6" s="31">
        <v>160</v>
      </c>
      <c r="E6" s="41">
        <v>2</v>
      </c>
      <c r="H6" s="39">
        <v>5</v>
      </c>
      <c r="I6" s="40" t="s">
        <v>142</v>
      </c>
      <c r="J6" s="40" t="s">
        <v>145</v>
      </c>
      <c r="K6" s="40" t="s">
        <v>137</v>
      </c>
    </row>
    <row r="7" ht="120">
      <c r="A7" s="31">
        <v>6</v>
      </c>
      <c r="B7" s="31" t="s">
        <v>146</v>
      </c>
      <c r="C7" s="31">
        <v>1</v>
      </c>
      <c r="D7" s="31">
        <v>100</v>
      </c>
      <c r="E7" s="41">
        <v>1</v>
      </c>
      <c r="H7" s="39">
        <v>6</v>
      </c>
      <c r="I7" s="40" t="s">
        <v>144</v>
      </c>
      <c r="J7" s="40" t="s">
        <v>147</v>
      </c>
      <c r="K7" s="40" t="s">
        <v>137</v>
      </c>
    </row>
    <row r="8" ht="105">
      <c r="A8" s="32">
        <v>7</v>
      </c>
      <c r="B8" s="32" t="s">
        <v>148</v>
      </c>
      <c r="C8" s="32">
        <v>1</v>
      </c>
      <c r="D8" s="32">
        <v>90</v>
      </c>
      <c r="E8" s="42">
        <v>1</v>
      </c>
      <c r="H8" s="39">
        <v>7</v>
      </c>
      <c r="I8" s="40" t="s">
        <v>146</v>
      </c>
      <c r="J8" s="40" t="s">
        <v>149</v>
      </c>
      <c r="K8" s="40" t="s">
        <v>137</v>
      </c>
    </row>
    <row r="9" ht="105">
      <c r="H9" s="39">
        <v>8</v>
      </c>
      <c r="I9" s="40" t="s">
        <v>148</v>
      </c>
      <c r="J9" s="40" t="s">
        <v>150</v>
      </c>
      <c r="K9" s="40" t="s">
        <v>137</v>
      </c>
    </row>
    <row r="10" ht="15.65">
      <c r="A10" s="43"/>
      <c r="B10" s="43"/>
      <c r="C10" s="43"/>
      <c r="D10" s="43"/>
      <c r="E10" s="43"/>
      <c r="H10" s="44"/>
      <c r="I10" s="44"/>
      <c r="J10" s="44"/>
      <c r="K10" s="44"/>
    </row>
    <row r="11" ht="15.65">
      <c r="A11" s="45"/>
      <c r="B11" s="45"/>
      <c r="C11" s="45"/>
      <c r="D11" s="45"/>
      <c r="E11" s="45"/>
      <c r="H11" s="46"/>
      <c r="I11" s="46"/>
      <c r="J11" s="46"/>
      <c r="K11" s="46"/>
    </row>
    <row r="12" ht="15.65">
      <c r="A12" s="45"/>
      <c r="B12" s="45"/>
      <c r="C12" s="45"/>
      <c r="D12" s="45"/>
      <c r="E12" s="45"/>
      <c r="H12" s="46"/>
      <c r="I12" s="46"/>
      <c r="J12" s="46"/>
      <c r="K12" s="46"/>
    </row>
    <row r="13" ht="15.65">
      <c r="A13" s="46"/>
      <c r="B13" s="47"/>
      <c r="C13" s="47"/>
      <c r="D13" s="47"/>
      <c r="E13" s="45"/>
      <c r="H13" s="46"/>
      <c r="I13" s="46"/>
      <c r="J13" s="46"/>
      <c r="K13" s="46"/>
    </row>
    <row r="14" ht="15.65">
      <c r="A14" s="48"/>
      <c r="B14" s="49"/>
      <c r="C14" s="50"/>
      <c r="E14" s="45"/>
      <c r="H14" s="46"/>
      <c r="I14" s="46"/>
      <c r="J14" s="46"/>
      <c r="K14" s="46"/>
    </row>
    <row r="15" ht="15.65">
      <c r="A15" s="48"/>
      <c r="B15" s="49"/>
      <c r="C15" s="50"/>
      <c r="E15" s="45"/>
      <c r="H15" s="46"/>
      <c r="I15" s="46"/>
      <c r="J15" s="46"/>
      <c r="K15" s="46"/>
    </row>
    <row r="16" ht="15.65">
      <c r="A16" s="48"/>
      <c r="B16" s="49"/>
      <c r="C16" s="50"/>
      <c r="E16" s="45"/>
      <c r="H16" s="46"/>
      <c r="I16" s="46"/>
      <c r="J16" s="46"/>
      <c r="K16" s="46"/>
    </row>
    <row r="17" ht="15.65">
      <c r="A17" s="48"/>
      <c r="B17" s="49"/>
      <c r="C17" s="50"/>
      <c r="E17" s="45"/>
    </row>
    <row r="18" ht="15.65">
      <c r="A18" s="48"/>
      <c r="B18" s="51"/>
      <c r="C18" s="50"/>
      <c r="E18" s="45"/>
    </row>
    <row r="19" ht="15.65">
      <c r="A19" s="48"/>
      <c r="B19" s="48"/>
      <c r="C19" s="50"/>
      <c r="E19" s="45"/>
    </row>
    <row r="20" ht="15.65">
      <c r="A20" s="48"/>
      <c r="B20" s="48"/>
      <c r="C20" s="50"/>
      <c r="E20" s="45"/>
    </row>
    <row r="21" ht="15.65">
      <c r="A21" s="48"/>
      <c r="B21" s="48"/>
      <c r="C21" s="50"/>
      <c r="E21" s="45"/>
    </row>
    <row r="22" ht="15.65">
      <c r="A22" s="48"/>
      <c r="B22" s="48"/>
      <c r="C22" s="50"/>
      <c r="E22" s="45"/>
    </row>
    <row r="23" ht="15.65">
      <c r="A23" s="48"/>
      <c r="B23" s="48"/>
      <c r="C23" s="50"/>
      <c r="E23" s="45"/>
    </row>
    <row r="24" ht="15.050000000000001" customHeight="1">
      <c r="A24" s="48"/>
      <c r="B24" s="52"/>
      <c r="C24" s="50"/>
    </row>
    <row r="25" ht="15.050000000000001" customHeight="1">
      <c r="A25" s="48"/>
      <c r="B25" s="53"/>
    </row>
    <row r="26" ht="15.050000000000001" customHeight="1">
      <c r="A26" s="48"/>
      <c r="B26" s="53"/>
    </row>
    <row r="27" ht="15.050000000000001" customHeight="1">
      <c r="A27" s="48"/>
      <c r="B27" s="53"/>
    </row>
    <row r="28" ht="15.050000000000001" customHeight="1">
      <c r="A28" s="48"/>
      <c r="B28" s="5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6"/>
      <c r="B1" s="37" t="s">
        <v>131</v>
      </c>
      <c r="C1" s="37" t="s">
        <v>132</v>
      </c>
      <c r="D1" s="37" t="s">
        <v>133</v>
      </c>
    </row>
    <row r="2">
      <c r="A2" s="54">
        <v>1</v>
      </c>
      <c r="B2" s="55" t="s">
        <v>135</v>
      </c>
      <c r="C2" s="56" t="s">
        <v>151</v>
      </c>
      <c r="D2" s="57"/>
    </row>
    <row r="3">
      <c r="A3" s="58"/>
      <c r="B3" s="59"/>
      <c r="C3" s="50" t="s">
        <v>152</v>
      </c>
      <c r="D3" s="34"/>
    </row>
    <row r="4">
      <c r="A4" s="58"/>
      <c r="B4" s="59"/>
      <c r="C4" s="50" t="s">
        <v>153</v>
      </c>
      <c r="D4" s="34"/>
    </row>
    <row r="5">
      <c r="A5" s="58"/>
      <c r="B5" s="59"/>
      <c r="C5" s="50" t="s">
        <v>154</v>
      </c>
      <c r="D5" s="34"/>
    </row>
    <row r="6">
      <c r="A6" s="58">
        <v>2</v>
      </c>
      <c r="B6" s="58" t="s">
        <v>134</v>
      </c>
      <c r="C6" s="50" t="s">
        <v>155</v>
      </c>
      <c r="D6" s="34"/>
    </row>
    <row r="7">
      <c r="A7" s="58"/>
      <c r="B7" s="58"/>
      <c r="C7" s="50" t="s">
        <v>156</v>
      </c>
      <c r="D7" s="34"/>
    </row>
    <row r="8">
      <c r="A8" s="58"/>
      <c r="B8" s="58"/>
      <c r="C8" s="50" t="s">
        <v>157</v>
      </c>
      <c r="D8" s="34"/>
    </row>
    <row r="9">
      <c r="A9" s="58"/>
      <c r="B9" s="58"/>
      <c r="C9" s="50" t="s">
        <v>158</v>
      </c>
      <c r="D9" s="34"/>
    </row>
    <row r="10">
      <c r="A10" s="58"/>
      <c r="B10" s="58"/>
      <c r="C10" s="50" t="s">
        <v>159</v>
      </c>
      <c r="D10" s="34"/>
    </row>
    <row r="11">
      <c r="A11" s="58"/>
      <c r="B11" s="58"/>
      <c r="C11" s="50" t="s">
        <v>160</v>
      </c>
      <c r="D11" s="34"/>
    </row>
    <row r="12">
      <c r="A12" s="58">
        <v>3</v>
      </c>
      <c r="B12" s="60" t="s">
        <v>138</v>
      </c>
      <c r="C12" s="50" t="s">
        <v>161</v>
      </c>
      <c r="D12" s="34"/>
    </row>
    <row r="13">
      <c r="A13" s="58"/>
      <c r="B13" s="60"/>
      <c r="C13" s="34"/>
      <c r="D13" s="34"/>
    </row>
    <row r="14">
      <c r="A14" s="58"/>
      <c r="B14" s="60"/>
      <c r="C14" s="34"/>
      <c r="D14" s="34"/>
    </row>
    <row r="15">
      <c r="A15" s="58"/>
      <c r="B15" s="60"/>
      <c r="C15" s="34"/>
      <c r="D15" s="34"/>
    </row>
    <row r="16">
      <c r="A16" s="58"/>
      <c r="B16" s="60"/>
      <c r="C16" s="34"/>
      <c r="D16" s="34"/>
    </row>
  </sheetData>
  <mergeCells count="6">
    <mergeCell ref="A2:A5"/>
    <mergeCell ref="B2:B5"/>
    <mergeCell ref="A6:A11"/>
    <mergeCell ref="B6:B11"/>
    <mergeCell ref="A12:A16"/>
    <mergeCell ref="B12:B1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12" activeCellId="0" sqref="E12"/>
    </sheetView>
  </sheetViews>
  <sheetFormatPr baseColWidth="8" defaultRowHeight="15.050000000000001" customHeight="1"/>
  <cols>
    <col customWidth="1" min="1" max="1" width="5.5429700000000004"/>
    <col customWidth="1" min="2" max="2" width="27.453099999999999"/>
    <col customWidth="1" min="3" max="4" width="18.542999999999999"/>
    <col customWidth="1" min="5" max="5" width="22.1797"/>
  </cols>
  <sheetData>
    <row r="1" ht="52" customHeight="1">
      <c r="A1" s="61" t="s">
        <v>162</v>
      </c>
      <c r="B1" s="61"/>
      <c r="C1" s="61"/>
      <c r="D1" s="61"/>
      <c r="E1" s="61"/>
    </row>
    <row r="2" ht="52.600000000000001" customHeight="1">
      <c r="A2" s="35" t="s">
        <v>91</v>
      </c>
      <c r="B2" s="35" t="s">
        <v>163</v>
      </c>
      <c r="C2" s="35" t="s">
        <v>164</v>
      </c>
      <c r="D2" s="35" t="s">
        <v>165</v>
      </c>
      <c r="E2" s="62" t="s">
        <v>166</v>
      </c>
      <c r="F2" s="34"/>
    </row>
    <row r="3" ht="30">
      <c r="A3" s="63">
        <v>1</v>
      </c>
      <c r="B3" s="63" t="s">
        <v>167</v>
      </c>
      <c r="C3" s="63">
        <v>1</v>
      </c>
      <c r="D3" s="63">
        <v>120000</v>
      </c>
      <c r="E3" s="31">
        <v>144000</v>
      </c>
      <c r="F3" s="34"/>
    </row>
    <row r="4" ht="15.65">
      <c r="A4" s="31">
        <v>2</v>
      </c>
      <c r="B4" s="31" t="s">
        <v>168</v>
      </c>
      <c r="C4" s="31">
        <v>2</v>
      </c>
      <c r="D4" s="31">
        <v>80000</v>
      </c>
      <c r="E4" s="31">
        <v>192000</v>
      </c>
      <c r="F4" s="34"/>
    </row>
    <row r="5" ht="15.65">
      <c r="A5" s="31">
        <v>3</v>
      </c>
      <c r="B5" s="31" t="s">
        <v>169</v>
      </c>
      <c r="C5" s="31" t="s">
        <v>170</v>
      </c>
      <c r="D5" s="31">
        <v>25000</v>
      </c>
      <c r="E5" s="31">
        <v>60000</v>
      </c>
      <c r="F5" s="34"/>
    </row>
    <row r="6" ht="15.65">
      <c r="A6" s="31">
        <v>4</v>
      </c>
      <c r="B6" s="31" t="s">
        <v>171</v>
      </c>
      <c r="C6" s="31" t="s">
        <v>172</v>
      </c>
      <c r="D6" s="31">
        <v>5000</v>
      </c>
      <c r="E6" s="31">
        <v>18000</v>
      </c>
      <c r="F6" s="34"/>
    </row>
    <row r="7" ht="15.65">
      <c r="A7" s="31">
        <v>5</v>
      </c>
      <c r="B7" s="31" t="s">
        <v>173</v>
      </c>
      <c r="C7" s="31" t="s">
        <v>172</v>
      </c>
      <c r="D7" s="31">
        <v>3000</v>
      </c>
      <c r="E7" s="31">
        <v>10800</v>
      </c>
      <c r="F7" s="34"/>
    </row>
    <row r="8" ht="15.65">
      <c r="A8" s="31">
        <v>6</v>
      </c>
      <c r="B8" s="31" t="s">
        <v>174</v>
      </c>
      <c r="C8" s="31">
        <v>1</v>
      </c>
      <c r="D8" s="31">
        <v>3000</v>
      </c>
      <c r="E8" s="31">
        <v>3600</v>
      </c>
      <c r="F8" s="34"/>
    </row>
    <row r="9" ht="15.65">
      <c r="A9" s="31">
        <v>7</v>
      </c>
      <c r="B9" s="31" t="s">
        <v>175</v>
      </c>
      <c r="C9" s="31">
        <v>1</v>
      </c>
      <c r="D9" s="31">
        <v>5000</v>
      </c>
      <c r="E9" s="31">
        <v>6000</v>
      </c>
      <c r="F9" s="34"/>
    </row>
    <row r="10" ht="15.65">
      <c r="A10" s="32">
        <v>8</v>
      </c>
      <c r="B10" s="32" t="s">
        <v>176</v>
      </c>
      <c r="C10" s="32">
        <v>1</v>
      </c>
      <c r="D10" s="32">
        <v>10000</v>
      </c>
      <c r="E10" s="32">
        <v>12000</v>
      </c>
      <c r="F10" s="34"/>
    </row>
    <row r="11" ht="15.65">
      <c r="A11" s="64" t="s">
        <v>177</v>
      </c>
      <c r="B11" s="65"/>
      <c r="C11" s="65"/>
      <c r="D11" s="66"/>
      <c r="E11" s="33">
        <f>SUM(E3:E10)</f>
        <v>446400</v>
      </c>
      <c r="F11" s="34"/>
    </row>
    <row r="12" ht="15.65">
      <c r="A12" s="67"/>
      <c r="B12" s="68"/>
      <c r="C12" s="68"/>
      <c r="D12" s="69"/>
      <c r="E12" s="70"/>
      <c r="F12" s="34"/>
    </row>
    <row r="13" ht="15.050000000000001">
      <c r="A13" s="34"/>
      <c r="B13" s="34"/>
      <c r="C13" s="34"/>
      <c r="D13" s="34"/>
      <c r="E13" s="34"/>
      <c r="F13" s="34"/>
    </row>
    <row r="14" ht="15.050000000000001">
      <c r="A14" s="34"/>
      <c r="B14" s="34"/>
      <c r="C14" s="34"/>
      <c r="D14" s="34"/>
      <c r="E14" s="34"/>
      <c r="F14" s="34"/>
    </row>
    <row r="15" ht="15.050000000000001">
      <c r="A15" s="34"/>
      <c r="B15" s="34"/>
      <c r="C15" s="34"/>
      <c r="D15" s="34"/>
      <c r="E15" s="34"/>
      <c r="F15" s="34"/>
    </row>
  </sheetData>
  <mergeCells count="3">
    <mergeCell ref="A1:E1"/>
    <mergeCell ref="A11:D11"/>
    <mergeCell ref="A12:D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60" workbookViewId="0">
      <selection activeCell="N18" activeCellId="0" sqref="N18"/>
    </sheetView>
  </sheetViews>
  <sheetFormatPr baseColWidth="8" defaultColWidth="8.90625" defaultRowHeight="15.65" customHeight="1"/>
  <cols>
    <col customWidth="1" min="1" max="1" style="71" width="8.90625"/>
    <col customWidth="1" min="2" max="2" style="71" width="26.906199999999998"/>
    <col customWidth="1" min="3" max="3" style="71" width="27.453099999999999"/>
    <col customWidth="1" min="4" max="4" style="71" width="16.453099999999999"/>
    <col customWidth="1" min="5" max="5" style="71" width="19.542999999999999"/>
    <col customWidth="1" min="6" max="6" style="71" width="16.453099999999999"/>
    <col customWidth="1" min="7" max="7" style="71" width="27.6328"/>
    <col customWidth="1" min="8" max="8" style="71" width="23.6328"/>
    <col bestFit="1" customWidth="1" min="9" max="9" style="71" width="19.453099999999999"/>
    <col customWidth="1" min="10" max="10" style="71" width="13.363300000000001"/>
    <col customWidth="1" min="11" max="11" style="71" width="2.8164099999999999"/>
    <col customWidth="1" min="12" max="257" style="71" width="8.90625"/>
  </cols>
  <sheetData>
    <row r="1" ht="15.65">
      <c r="A1" s="72"/>
      <c r="B1" s="72"/>
      <c r="C1" s="72"/>
      <c r="D1" s="72"/>
      <c r="E1" s="72"/>
      <c r="F1" s="72"/>
      <c r="G1" s="72"/>
      <c r="H1" s="72"/>
      <c r="I1" s="73" t="s">
        <v>178</v>
      </c>
    </row>
    <row r="2" ht="15.65" customHeight="1">
      <c r="A2" s="72"/>
      <c r="B2" s="72"/>
      <c r="C2" s="72"/>
      <c r="D2" s="72"/>
      <c r="E2" s="72"/>
      <c r="F2" s="72"/>
      <c r="G2" s="72"/>
      <c r="H2" s="72"/>
      <c r="I2" s="72"/>
    </row>
    <row r="3" ht="15.65">
      <c r="A3" s="74" t="s">
        <v>179</v>
      </c>
      <c r="B3" s="74"/>
      <c r="C3" s="74"/>
      <c r="D3" s="74"/>
      <c r="E3" s="74"/>
      <c r="F3" s="74"/>
      <c r="G3" s="74"/>
      <c r="H3" s="74"/>
      <c r="I3" s="74"/>
      <c r="J3" s="75"/>
    </row>
    <row r="4" ht="31.5" customHeight="1">
      <c r="A4" s="76" t="s">
        <v>180</v>
      </c>
      <c r="B4" s="76"/>
      <c r="C4" s="76"/>
      <c r="D4" s="76"/>
      <c r="E4" s="76"/>
      <c r="F4" s="76"/>
      <c r="G4" s="76"/>
      <c r="H4" s="76"/>
      <c r="I4" s="76"/>
      <c r="J4" s="75"/>
    </row>
    <row r="5" ht="15.65">
      <c r="A5" s="77" t="s">
        <v>181</v>
      </c>
      <c r="B5" s="77"/>
      <c r="C5" s="77"/>
      <c r="D5" s="77"/>
      <c r="E5" s="77"/>
      <c r="F5" s="77"/>
      <c r="G5" s="77"/>
      <c r="H5" s="77"/>
      <c r="I5" s="77"/>
      <c r="J5" s="75"/>
    </row>
    <row r="6" ht="16.300000000000001">
      <c r="A6" s="78"/>
      <c r="B6" s="78"/>
      <c r="C6" s="78"/>
      <c r="D6" s="78"/>
      <c r="E6" s="78"/>
      <c r="F6" s="78"/>
      <c r="G6" s="78"/>
      <c r="H6" s="78"/>
      <c r="I6" s="78"/>
    </row>
    <row r="7" s="79" customFormat="1" ht="43.549999999999997" customHeight="1">
      <c r="A7" s="80" t="s">
        <v>182</v>
      </c>
      <c r="B7" s="80" t="s">
        <v>183</v>
      </c>
      <c r="C7" s="81" t="s">
        <v>184</v>
      </c>
      <c r="D7" s="82"/>
      <c r="E7" s="81" t="s">
        <v>185</v>
      </c>
      <c r="F7" s="82"/>
      <c r="G7" s="80" t="s">
        <v>186</v>
      </c>
      <c r="H7" s="80" t="s">
        <v>187</v>
      </c>
      <c r="I7" s="80" t="s">
        <v>188</v>
      </c>
      <c r="J7" s="83"/>
    </row>
    <row r="8" s="79" customFormat="1" ht="43.549999999999997" customHeight="1">
      <c r="A8" s="84"/>
      <c r="B8" s="84"/>
      <c r="C8" s="84" t="s">
        <v>127</v>
      </c>
      <c r="D8" s="84" t="s">
        <v>189</v>
      </c>
      <c r="E8" s="84" t="s">
        <v>190</v>
      </c>
      <c r="F8" s="84" t="s">
        <v>191</v>
      </c>
      <c r="G8" s="84"/>
      <c r="H8" s="84"/>
      <c r="I8" s="84"/>
      <c r="J8" s="83"/>
    </row>
    <row r="9" ht="16.300000000000001">
      <c r="A9" s="85">
        <v>1</v>
      </c>
      <c r="B9" s="86"/>
      <c r="C9" s="86">
        <v>2</v>
      </c>
      <c r="D9" s="86">
        <v>3</v>
      </c>
      <c r="E9" s="86">
        <v>4</v>
      </c>
      <c r="F9" s="86">
        <v>5</v>
      </c>
      <c r="G9" s="86">
        <v>6</v>
      </c>
      <c r="H9" s="86">
        <v>7</v>
      </c>
      <c r="I9" s="87" t="s">
        <v>192</v>
      </c>
      <c r="J9" s="88"/>
    </row>
    <row r="10" ht="47.450000000000003" customHeight="1">
      <c r="A10" s="89">
        <v>1</v>
      </c>
      <c r="B10" s="90" t="s">
        <v>193</v>
      </c>
      <c r="C10" s="89" t="s">
        <v>134</v>
      </c>
      <c r="D10" s="89">
        <v>1</v>
      </c>
      <c r="E10" s="91">
        <v>46063</v>
      </c>
      <c r="F10" s="92">
        <v>46139</v>
      </c>
      <c r="G10" s="89">
        <v>440</v>
      </c>
      <c r="H10" s="89">
        <v>568</v>
      </c>
      <c r="I10" s="93">
        <f t="shared" ref="I10:I16" si="0">G10*H10</f>
        <v>249920</v>
      </c>
      <c r="J10" s="88"/>
      <c r="O10" s="71"/>
      <c r="P10" s="71"/>
      <c r="Q10" s="71"/>
    </row>
    <row r="11" ht="30">
      <c r="A11" s="89">
        <v>2</v>
      </c>
      <c r="B11" s="94"/>
      <c r="C11" s="89" t="s">
        <v>138</v>
      </c>
      <c r="D11" s="89">
        <v>1</v>
      </c>
      <c r="E11" s="91">
        <v>46063</v>
      </c>
      <c r="F11" s="92">
        <v>46090</v>
      </c>
      <c r="G11" s="89">
        <v>176</v>
      </c>
      <c r="H11" s="89">
        <v>511</v>
      </c>
      <c r="I11" s="93">
        <f t="shared" si="0"/>
        <v>89936</v>
      </c>
      <c r="J11" s="95"/>
      <c r="O11" s="71"/>
      <c r="P11" s="71"/>
      <c r="Q11" s="71"/>
    </row>
    <row r="12" ht="16.300000000000001">
      <c r="A12" s="89">
        <v>3</v>
      </c>
      <c r="B12" s="94"/>
      <c r="C12" s="89" t="s">
        <v>140</v>
      </c>
      <c r="D12" s="89">
        <v>1</v>
      </c>
      <c r="E12" s="91">
        <v>46091</v>
      </c>
      <c r="F12" s="92">
        <v>46135</v>
      </c>
      <c r="G12" s="89">
        <v>264</v>
      </c>
      <c r="H12" s="89">
        <v>795</v>
      </c>
      <c r="I12" s="93">
        <f t="shared" si="0"/>
        <v>209880</v>
      </c>
      <c r="J12" s="95"/>
      <c r="O12" s="71"/>
      <c r="P12" s="71"/>
      <c r="Q12" s="71"/>
    </row>
    <row r="13" ht="16.300000000000001">
      <c r="A13" s="89">
        <v>4</v>
      </c>
      <c r="B13" s="94"/>
      <c r="C13" s="89" t="s">
        <v>142</v>
      </c>
      <c r="D13" s="89">
        <v>1</v>
      </c>
      <c r="E13" s="91">
        <v>46091</v>
      </c>
      <c r="F13" s="92">
        <v>46135</v>
      </c>
      <c r="G13" s="96">
        <v>264</v>
      </c>
      <c r="H13" s="89">
        <v>739</v>
      </c>
      <c r="I13" s="93">
        <f t="shared" si="0"/>
        <v>195096</v>
      </c>
      <c r="J13" s="95"/>
      <c r="O13" s="71"/>
      <c r="P13" s="71"/>
      <c r="Q13" s="71"/>
    </row>
    <row r="14" ht="16.300000000000001">
      <c r="A14" s="89">
        <v>5</v>
      </c>
      <c r="B14" s="94"/>
      <c r="C14" s="89" t="s">
        <v>144</v>
      </c>
      <c r="D14" s="89">
        <v>1</v>
      </c>
      <c r="E14" s="91">
        <v>46077</v>
      </c>
      <c r="F14" s="92">
        <v>46139</v>
      </c>
      <c r="G14" s="96">
        <v>352</v>
      </c>
      <c r="H14" s="89">
        <v>909</v>
      </c>
      <c r="I14" s="93">
        <f t="shared" si="0"/>
        <v>319968</v>
      </c>
      <c r="J14" s="95"/>
      <c r="K14" s="71"/>
      <c r="O14" s="71"/>
      <c r="P14" s="71"/>
      <c r="Q14" s="71"/>
    </row>
    <row r="15" ht="16.300000000000001">
      <c r="A15" s="89">
        <v>6</v>
      </c>
      <c r="B15" s="94"/>
      <c r="C15" s="89" t="s">
        <v>146</v>
      </c>
      <c r="D15" s="89">
        <v>1</v>
      </c>
      <c r="E15" s="91">
        <v>46077</v>
      </c>
      <c r="F15" s="92">
        <v>46104</v>
      </c>
      <c r="G15" s="96">
        <v>176</v>
      </c>
      <c r="H15" s="89">
        <v>568</v>
      </c>
      <c r="I15" s="93">
        <f t="shared" si="0"/>
        <v>99968</v>
      </c>
      <c r="J15" s="95"/>
      <c r="K15" s="71"/>
      <c r="O15" s="71"/>
      <c r="P15" s="71"/>
      <c r="Q15" s="71"/>
    </row>
    <row r="16" ht="16.300000000000001">
      <c r="A16" s="89">
        <v>7</v>
      </c>
      <c r="B16" s="97"/>
      <c r="C16" s="89" t="s">
        <v>148</v>
      </c>
      <c r="D16" s="89">
        <v>1</v>
      </c>
      <c r="E16" s="91">
        <v>46112</v>
      </c>
      <c r="F16" s="92">
        <v>46139</v>
      </c>
      <c r="G16" s="96">
        <v>176</v>
      </c>
      <c r="H16" s="89">
        <v>511</v>
      </c>
      <c r="I16" s="93">
        <f t="shared" si="0"/>
        <v>89936</v>
      </c>
      <c r="J16" s="95"/>
      <c r="K16" s="98"/>
      <c r="O16" s="71"/>
      <c r="P16" s="71"/>
      <c r="Q16" s="71"/>
    </row>
    <row r="17" ht="16.300000000000001">
      <c r="A17" s="99"/>
      <c r="B17" s="100"/>
      <c r="C17" s="94"/>
      <c r="D17" s="94"/>
      <c r="E17" s="101"/>
      <c r="F17" s="102"/>
      <c r="G17" s="103"/>
      <c r="H17" s="94"/>
      <c r="I17" s="104">
        <f t="shared" ref="I17:I21" si="1">D17*G17*H17</f>
        <v>0</v>
      </c>
      <c r="J17" s="95"/>
      <c r="K17" s="98"/>
      <c r="O17" s="71"/>
      <c r="P17" s="71"/>
      <c r="Q17" s="71"/>
    </row>
    <row r="18" ht="16.300000000000001">
      <c r="A18" s="99"/>
      <c r="B18" s="100"/>
      <c r="C18" s="94"/>
      <c r="D18" s="94"/>
      <c r="E18" s="105"/>
      <c r="F18" s="102"/>
      <c r="G18" s="103"/>
      <c r="H18" s="94"/>
      <c r="I18" s="104">
        <f t="shared" si="1"/>
        <v>0</v>
      </c>
      <c r="J18" s="95"/>
      <c r="K18" s="98"/>
      <c r="O18" s="71"/>
      <c r="P18" s="71"/>
      <c r="Q18" s="71"/>
    </row>
    <row r="19" ht="16.300000000000001">
      <c r="A19" s="99"/>
      <c r="B19" s="100"/>
      <c r="C19" s="94"/>
      <c r="D19" s="94"/>
      <c r="E19" s="105"/>
      <c r="F19" s="102"/>
      <c r="G19" s="103"/>
      <c r="H19" s="94"/>
      <c r="I19" s="104">
        <f t="shared" si="1"/>
        <v>0</v>
      </c>
      <c r="J19" s="95"/>
      <c r="K19" s="98"/>
      <c r="O19" s="71"/>
      <c r="P19" s="71"/>
      <c r="Q19" s="71"/>
    </row>
    <row r="20" ht="16.300000000000001">
      <c r="A20" s="99"/>
      <c r="B20" s="100"/>
      <c r="C20" s="94"/>
      <c r="D20" s="94"/>
      <c r="E20" s="105"/>
      <c r="F20" s="102"/>
      <c r="G20" s="94"/>
      <c r="H20" s="94"/>
      <c r="I20" s="104">
        <f t="shared" si="1"/>
        <v>0</v>
      </c>
      <c r="J20" s="95"/>
      <c r="K20" s="98"/>
      <c r="O20" s="71"/>
      <c r="P20" s="71"/>
      <c r="Q20" s="71"/>
    </row>
    <row r="21" ht="15.65">
      <c r="A21" s="99"/>
      <c r="B21" s="100"/>
      <c r="C21" s="94"/>
      <c r="D21" s="94"/>
      <c r="E21" s="106"/>
      <c r="F21" s="102"/>
      <c r="G21" s="94"/>
      <c r="H21" s="94"/>
      <c r="I21" s="104">
        <f t="shared" si="1"/>
        <v>0</v>
      </c>
      <c r="J21" s="95"/>
      <c r="K21" s="98"/>
      <c r="O21" s="71"/>
      <c r="P21" s="71"/>
      <c r="Q21" s="71"/>
    </row>
    <row r="22" ht="30.699999999999999" customHeight="1">
      <c r="A22" s="107"/>
      <c r="B22" s="108"/>
      <c r="C22" s="109"/>
      <c r="D22" s="110"/>
      <c r="E22" s="111"/>
      <c r="F22" s="112"/>
      <c r="G22" s="110"/>
      <c r="H22" s="113"/>
      <c r="I22" s="114"/>
      <c r="J22" s="95"/>
      <c r="K22" s="71"/>
      <c r="O22" s="71"/>
      <c r="P22" s="71"/>
      <c r="Q22" s="71"/>
    </row>
    <row r="23" ht="19.899999999999999" customHeight="1">
      <c r="A23" s="115" t="s">
        <v>194</v>
      </c>
      <c r="B23" s="116"/>
      <c r="C23" s="116"/>
      <c r="D23" s="116"/>
      <c r="E23" s="116"/>
      <c r="F23" s="116"/>
      <c r="G23" s="116"/>
      <c r="H23" s="117"/>
      <c r="I23" s="118">
        <f>SUM(I10:I22)</f>
        <v>1254704</v>
      </c>
      <c r="K23" s="71"/>
    </row>
    <row r="24" ht="19.899999999999999" customHeight="1">
      <c r="A24" s="119" t="s">
        <v>195</v>
      </c>
      <c r="B24" s="120"/>
      <c r="C24" s="120"/>
      <c r="D24" s="120"/>
      <c r="E24" s="120"/>
      <c r="F24" s="120"/>
      <c r="G24" s="120"/>
      <c r="H24" s="121"/>
      <c r="I24" s="122"/>
      <c r="J24" s="88"/>
      <c r="K24" s="71"/>
    </row>
    <row r="25" ht="19.899999999999999" customHeight="1">
      <c r="A25" s="123" t="s">
        <v>196</v>
      </c>
      <c r="B25" s="124"/>
      <c r="C25" s="124"/>
      <c r="D25" s="124"/>
      <c r="E25" s="124"/>
      <c r="F25" s="124"/>
      <c r="G25" s="124"/>
      <c r="H25" s="125"/>
      <c r="I25" s="126">
        <f>I23</f>
        <v>1254704</v>
      </c>
      <c r="J25" s="88"/>
      <c r="K25" s="127"/>
    </row>
    <row r="26" ht="19.449999999999999" customHeight="1">
      <c r="A26" s="123" t="s">
        <v>197</v>
      </c>
      <c r="B26" s="124"/>
      <c r="C26" s="124"/>
      <c r="D26" s="124"/>
      <c r="E26" s="124"/>
      <c r="F26" s="124"/>
      <c r="G26" s="124"/>
      <c r="H26" s="125"/>
      <c r="I26" s="128">
        <f>I25*0.1</f>
        <v>125470.40000000001</v>
      </c>
      <c r="J26" s="129"/>
      <c r="K26" s="130"/>
    </row>
    <row r="27" ht="19.449999999999999" customHeight="1">
      <c r="A27" s="131" t="s">
        <v>198</v>
      </c>
      <c r="B27" s="132"/>
      <c r="C27" s="132"/>
      <c r="D27" s="132"/>
      <c r="E27" s="132"/>
      <c r="F27" s="132"/>
      <c r="G27" s="132"/>
      <c r="H27" s="133"/>
      <c r="I27" s="134">
        <f>'Технические ограничения'!E11</f>
        <v>446400</v>
      </c>
      <c r="J27" s="88"/>
      <c r="K27" s="130"/>
    </row>
    <row r="28" ht="19.899999999999999" customHeight="1">
      <c r="A28" s="131" t="s">
        <v>199</v>
      </c>
      <c r="B28" s="132"/>
      <c r="C28" s="132"/>
      <c r="D28" s="132"/>
      <c r="E28" s="132"/>
      <c r="F28" s="132"/>
      <c r="G28" s="132"/>
      <c r="H28" s="133"/>
      <c r="I28" s="134">
        <v>0</v>
      </c>
      <c r="J28" s="88"/>
      <c r="K28" s="130"/>
    </row>
    <row r="29" ht="19.899999999999999" customHeight="1">
      <c r="A29" s="135" t="s">
        <v>200</v>
      </c>
      <c r="B29" s="136"/>
      <c r="C29" s="136"/>
      <c r="D29" s="136"/>
      <c r="E29" s="136"/>
      <c r="F29" s="136"/>
      <c r="G29" s="136"/>
      <c r="H29" s="137"/>
      <c r="I29" s="126">
        <f>I25+I26+I27+I28</f>
        <v>1826574.3999999999</v>
      </c>
      <c r="J29" s="88"/>
      <c r="K29" s="127"/>
    </row>
    <row r="30" ht="19.899999999999999" customHeight="1">
      <c r="A30" s="131" t="s">
        <v>201</v>
      </c>
      <c r="B30" s="132"/>
      <c r="C30" s="132"/>
      <c r="D30" s="132"/>
      <c r="E30" s="132"/>
      <c r="F30" s="132"/>
      <c r="G30" s="132"/>
      <c r="H30" s="133"/>
      <c r="I30" s="134">
        <v>0</v>
      </c>
      <c r="J30" s="88"/>
      <c r="K30" s="130"/>
    </row>
    <row r="31" ht="19.899999999999999" customHeight="1">
      <c r="A31" s="138" t="s">
        <v>202</v>
      </c>
      <c r="B31" s="139"/>
      <c r="C31" s="139"/>
      <c r="D31" s="139"/>
      <c r="E31" s="139"/>
      <c r="F31" s="139"/>
      <c r="G31" s="139"/>
      <c r="H31" s="140"/>
      <c r="I31" s="134">
        <f>I29+I30</f>
        <v>1826574.3999999999</v>
      </c>
      <c r="J31" s="88"/>
      <c r="K31" s="130"/>
    </row>
    <row r="32" ht="19.899999999999999" customHeight="1">
      <c r="A32" s="123" t="s">
        <v>203</v>
      </c>
      <c r="B32" s="124"/>
      <c r="C32" s="124"/>
      <c r="D32" s="124"/>
      <c r="E32" s="124"/>
      <c r="F32" s="124"/>
      <c r="G32" s="124"/>
      <c r="H32" s="125"/>
      <c r="I32" s="134">
        <f>I31*0.1</f>
        <v>182657.44</v>
      </c>
      <c r="J32" s="129"/>
      <c r="K32" s="130"/>
      <c r="Q32" s="141"/>
    </row>
    <row r="33" ht="19.899999999999999" customHeight="1">
      <c r="A33" s="142" t="s">
        <v>204</v>
      </c>
      <c r="B33" s="143"/>
      <c r="C33" s="143"/>
      <c r="D33" s="143"/>
      <c r="E33" s="143"/>
      <c r="F33" s="143"/>
      <c r="G33" s="143"/>
      <c r="H33" s="144"/>
      <c r="I33" s="145">
        <f>I32+I31</f>
        <v>2009231.8399999999</v>
      </c>
      <c r="J33" s="141"/>
      <c r="K33" s="127"/>
    </row>
    <row r="34" s="71" customFormat="1" ht="19.449999999999999" customHeight="1">
      <c r="A34" s="146" t="s">
        <v>205</v>
      </c>
      <c r="B34" s="124"/>
      <c r="C34" s="124"/>
      <c r="D34" s="124"/>
      <c r="E34" s="124"/>
      <c r="F34" s="124"/>
      <c r="G34" s="124"/>
      <c r="H34" s="125"/>
      <c r="I34" s="134">
        <f>I33*0.22</f>
        <v>442031.0048</v>
      </c>
      <c r="J34" s="141"/>
      <c r="K34" s="127"/>
    </row>
    <row r="35" s="71" customFormat="1" ht="16.300000000000001" customHeight="1">
      <c r="A35" s="147" t="s">
        <v>206</v>
      </c>
      <c r="B35" s="148"/>
      <c r="C35" s="148"/>
      <c r="D35" s="148"/>
      <c r="E35" s="148"/>
      <c r="F35" s="148"/>
      <c r="G35" s="148"/>
      <c r="H35" s="149"/>
      <c r="I35" s="150">
        <f>I33+0.22*I33</f>
        <v>2451262.8448000001</v>
      </c>
    </row>
    <row r="36" ht="15.65">
      <c r="K36" s="71"/>
    </row>
    <row r="37" ht="15.65">
      <c r="K37" s="71"/>
    </row>
    <row r="40" ht="34.450000000000003" customHeight="1"/>
  </sheetData>
  <mergeCells count="25">
    <mergeCell ref="A3:I3"/>
    <mergeCell ref="A4:I4"/>
    <mergeCell ref="A5:I5"/>
    <mergeCell ref="A7:A8"/>
    <mergeCell ref="B7:B8"/>
    <mergeCell ref="C7:D7"/>
    <mergeCell ref="E7:F7"/>
    <mergeCell ref="G7:G8"/>
    <mergeCell ref="H7:H8"/>
    <mergeCell ref="I7:I8"/>
    <mergeCell ref="J7:J8"/>
    <mergeCell ref="B10:B16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rintOptions headings="0" gridLines="0"/>
  <pageMargins left="0.69999999999999996" right="0.69999999999999996" top="0.75" bottom="0.75" header="0.29999999999999999" footer="0.29999999999999999"/>
  <pageSetup paperSize="9" scale="6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A1" activeCellId="0" sqref="A1"/>
    </sheetView>
  </sheetViews>
  <sheetFormatPr defaultRowHeight="15"/>
  <cols>
    <col customWidth="1" min="1" max="1" width="4.4531200000000002"/>
    <col customWidth="1" min="2" max="2" width="37.179699999999997"/>
    <col customWidth="1" min="3" max="3" width="23.542999999999999"/>
    <col customWidth="1" min="4" max="4" width="14.726599999999999"/>
    <col customWidth="1" min="5" max="5" width="12.8164"/>
    <col customWidth="1" min="6" max="6" width="9.5429700000000004"/>
    <col customWidth="1" min="7" max="7" width="10"/>
    <col customWidth="1" min="8" max="8" width="54.453099999999999"/>
  </cols>
  <sheetData>
    <row r="1" ht="30">
      <c r="A1" s="151" t="s">
        <v>91</v>
      </c>
      <c r="B1" s="151" t="s">
        <v>207</v>
      </c>
      <c r="C1" s="151" t="s">
        <v>208</v>
      </c>
      <c r="D1" s="151" t="s">
        <v>209</v>
      </c>
      <c r="E1" s="151" t="s">
        <v>210</v>
      </c>
      <c r="F1" s="151" t="s">
        <v>211</v>
      </c>
      <c r="G1" s="151" t="s">
        <v>212</v>
      </c>
      <c r="H1" s="151" t="s">
        <v>213</v>
      </c>
    </row>
    <row r="2" ht="60">
      <c r="A2" s="11">
        <v>1</v>
      </c>
      <c r="B2" s="11" t="s">
        <v>214</v>
      </c>
      <c r="C2" s="11" t="s">
        <v>215</v>
      </c>
      <c r="D2" s="11" t="s">
        <v>216</v>
      </c>
      <c r="E2" s="11">
        <v>0.80000000000000004</v>
      </c>
      <c r="F2" s="11">
        <v>0.90000000000000002</v>
      </c>
      <c r="G2" s="11">
        <v>0.71999999999999997</v>
      </c>
      <c r="H2" s="11" t="s">
        <v>217</v>
      </c>
    </row>
    <row r="3" ht="60">
      <c r="A3" s="11">
        <v>2</v>
      </c>
      <c r="B3" s="11" t="s">
        <v>218</v>
      </c>
      <c r="C3" s="11" t="s">
        <v>219</v>
      </c>
      <c r="D3" s="11" t="s">
        <v>220</v>
      </c>
      <c r="E3" s="11">
        <v>0.80000000000000004</v>
      </c>
      <c r="F3" s="11">
        <v>0.90000000000000002</v>
      </c>
      <c r="G3" s="11">
        <v>0.71999999999999997</v>
      </c>
      <c r="H3" s="11" t="s">
        <v>221</v>
      </c>
    </row>
    <row r="4" ht="60">
      <c r="A4" s="11">
        <v>3</v>
      </c>
      <c r="B4" s="11" t="s">
        <v>222</v>
      </c>
      <c r="C4" s="11" t="s">
        <v>223</v>
      </c>
      <c r="D4" s="11" t="s">
        <v>224</v>
      </c>
      <c r="E4" s="11">
        <v>0.80000000000000004</v>
      </c>
      <c r="F4" s="11">
        <v>0.90000000000000002</v>
      </c>
      <c r="G4" s="11">
        <v>0.71999999999999997</v>
      </c>
      <c r="H4" s="11" t="s">
        <v>225</v>
      </c>
    </row>
    <row r="5" ht="60">
      <c r="A5" s="11">
        <v>4</v>
      </c>
      <c r="B5" s="11" t="s">
        <v>226</v>
      </c>
      <c r="C5" s="11" t="s">
        <v>227</v>
      </c>
      <c r="D5" s="11" t="s">
        <v>224</v>
      </c>
      <c r="E5" s="11">
        <v>0.80000000000000004</v>
      </c>
      <c r="F5" s="11">
        <v>0.69999999999999996</v>
      </c>
      <c r="G5" s="11">
        <v>0.56000000000000005</v>
      </c>
      <c r="H5" s="11" t="s">
        <v>228</v>
      </c>
    </row>
    <row r="6" ht="45">
      <c r="A6" s="11">
        <v>5</v>
      </c>
      <c r="B6" s="11" t="s">
        <v>229</v>
      </c>
      <c r="C6" s="11" t="s">
        <v>230</v>
      </c>
      <c r="D6" s="11" t="s">
        <v>231</v>
      </c>
      <c r="E6" s="11">
        <v>0.80000000000000004</v>
      </c>
      <c r="F6" s="11">
        <v>0.69999999999999996</v>
      </c>
      <c r="G6" s="11">
        <v>0.56000000000000005</v>
      </c>
      <c r="H6" s="11" t="s">
        <v>232</v>
      </c>
    </row>
    <row r="7" ht="60">
      <c r="A7" s="11">
        <v>6</v>
      </c>
      <c r="B7" s="11" t="s">
        <v>233</v>
      </c>
      <c r="C7" s="11" t="s">
        <v>234</v>
      </c>
      <c r="D7" s="11" t="s">
        <v>231</v>
      </c>
      <c r="E7" s="11">
        <v>0.80000000000000004</v>
      </c>
      <c r="F7" s="11">
        <v>0.69999999999999996</v>
      </c>
      <c r="G7" s="11">
        <v>0.56000000000000005</v>
      </c>
      <c r="H7" s="11" t="s">
        <v>235</v>
      </c>
    </row>
    <row r="8" ht="60">
      <c r="A8" s="11">
        <v>7</v>
      </c>
      <c r="B8" s="11" t="s">
        <v>236</v>
      </c>
      <c r="C8" s="11" t="s">
        <v>237</v>
      </c>
      <c r="D8" s="11" t="s">
        <v>224</v>
      </c>
      <c r="E8" s="11">
        <v>0.80000000000000004</v>
      </c>
      <c r="F8" s="11">
        <v>0.69999999999999996</v>
      </c>
      <c r="G8" s="11">
        <v>0.56000000000000005</v>
      </c>
      <c r="H8" s="11" t="s">
        <v>238</v>
      </c>
    </row>
    <row r="9" ht="60">
      <c r="A9" s="11">
        <v>8</v>
      </c>
      <c r="B9" s="11" t="s">
        <v>239</v>
      </c>
      <c r="C9" s="11" t="s">
        <v>240</v>
      </c>
      <c r="D9" s="11" t="s">
        <v>224</v>
      </c>
      <c r="E9" s="11">
        <v>0.80000000000000004</v>
      </c>
      <c r="F9" s="11">
        <v>0.69999999999999996</v>
      </c>
      <c r="G9" s="11">
        <v>0.56000000000000005</v>
      </c>
      <c r="H9" s="11" t="s">
        <v>241</v>
      </c>
    </row>
    <row r="10" ht="60">
      <c r="A10" s="11">
        <v>9</v>
      </c>
      <c r="B10" s="11" t="s">
        <v>242</v>
      </c>
      <c r="C10" s="11" t="s">
        <v>243</v>
      </c>
      <c r="D10" s="11" t="s">
        <v>224</v>
      </c>
      <c r="E10" s="11">
        <v>0.80000000000000004</v>
      </c>
      <c r="F10" s="11">
        <v>0.69999999999999996</v>
      </c>
      <c r="G10" s="11">
        <v>0.56000000000000005</v>
      </c>
      <c r="H10" s="11" t="s">
        <v>244</v>
      </c>
    </row>
    <row r="11" ht="45">
      <c r="A11" s="11">
        <v>10</v>
      </c>
      <c r="B11" s="11" t="s">
        <v>245</v>
      </c>
      <c r="C11" s="11" t="s">
        <v>246</v>
      </c>
      <c r="D11" s="11" t="s">
        <v>231</v>
      </c>
      <c r="E11" s="11">
        <v>0.40000000000000002</v>
      </c>
      <c r="F11" s="11">
        <v>0.90000000000000002</v>
      </c>
      <c r="G11" s="11">
        <v>0.35999999999999999</v>
      </c>
      <c r="H11" s="11" t="s">
        <v>247</v>
      </c>
    </row>
    <row r="12" ht="45">
      <c r="A12" s="11">
        <v>11</v>
      </c>
      <c r="B12" s="11" t="s">
        <v>248</v>
      </c>
      <c r="C12" s="11" t="s">
        <v>249</v>
      </c>
      <c r="D12" s="11" t="s">
        <v>220</v>
      </c>
      <c r="E12" s="11">
        <v>0.40000000000000002</v>
      </c>
      <c r="F12" s="11">
        <v>0.90000000000000002</v>
      </c>
      <c r="G12" s="11">
        <v>0.35999999999999999</v>
      </c>
      <c r="H12" s="11" t="s">
        <v>250</v>
      </c>
    </row>
    <row r="13" ht="30">
      <c r="A13" s="11">
        <v>12</v>
      </c>
      <c r="B13" s="11" t="s">
        <v>251</v>
      </c>
      <c r="C13" s="11" t="s">
        <v>252</v>
      </c>
      <c r="D13" s="11" t="s">
        <v>224</v>
      </c>
      <c r="E13" s="11">
        <v>0.40000000000000002</v>
      </c>
      <c r="F13" s="11">
        <v>0.90000000000000002</v>
      </c>
      <c r="G13" s="11">
        <v>0.35999999999999999</v>
      </c>
      <c r="H13" s="11" t="s">
        <v>253</v>
      </c>
    </row>
    <row r="14" ht="45">
      <c r="A14" s="11">
        <v>13</v>
      </c>
      <c r="B14" s="11" t="s">
        <v>254</v>
      </c>
      <c r="C14" s="11" t="s">
        <v>255</v>
      </c>
      <c r="D14" s="11" t="s">
        <v>216</v>
      </c>
      <c r="E14" s="11">
        <v>0.40000000000000002</v>
      </c>
      <c r="F14" s="11">
        <v>0.90000000000000002</v>
      </c>
      <c r="G14" s="11">
        <v>0.35999999999999999</v>
      </c>
      <c r="H14" s="11" t="s">
        <v>256</v>
      </c>
    </row>
    <row r="15" ht="45">
      <c r="A15" s="11">
        <v>14</v>
      </c>
      <c r="B15" s="11" t="s">
        <v>257</v>
      </c>
      <c r="C15" s="11" t="s">
        <v>258</v>
      </c>
      <c r="D15" s="11" t="s">
        <v>224</v>
      </c>
      <c r="E15" s="11">
        <v>0.80000000000000004</v>
      </c>
      <c r="F15" s="11">
        <v>0.5</v>
      </c>
      <c r="G15" s="11">
        <v>0.40000000000000002</v>
      </c>
      <c r="H15" s="11" t="s">
        <v>259</v>
      </c>
    </row>
    <row r="16" ht="45">
      <c r="A16" s="11">
        <v>15</v>
      </c>
      <c r="B16" s="11" t="s">
        <v>260</v>
      </c>
      <c r="C16" s="11" t="s">
        <v>261</v>
      </c>
      <c r="D16" s="11" t="s">
        <v>216</v>
      </c>
      <c r="E16" s="11">
        <v>0.80000000000000004</v>
      </c>
      <c r="F16" s="11">
        <v>0.5</v>
      </c>
      <c r="G16" s="11">
        <v>0.40000000000000002</v>
      </c>
      <c r="H16" s="11" t="s">
        <v>262</v>
      </c>
    </row>
    <row r="17" ht="30">
      <c r="A17" s="11">
        <v>16</v>
      </c>
      <c r="B17" s="11" t="s">
        <v>263</v>
      </c>
      <c r="C17" s="11" t="s">
        <v>264</v>
      </c>
      <c r="D17" s="11" t="s">
        <v>224</v>
      </c>
      <c r="E17" s="11">
        <v>0.80000000000000004</v>
      </c>
      <c r="F17" s="11">
        <v>0.5</v>
      </c>
      <c r="G17" s="11">
        <v>0.40000000000000002</v>
      </c>
      <c r="H17" s="11" t="s">
        <v>265</v>
      </c>
    </row>
    <row r="18" ht="45">
      <c r="A18" s="11">
        <v>17</v>
      </c>
      <c r="B18" s="11" t="s">
        <v>266</v>
      </c>
      <c r="C18" s="11" t="s">
        <v>267</v>
      </c>
      <c r="D18" s="11" t="s">
        <v>224</v>
      </c>
      <c r="E18" s="11">
        <v>0.80000000000000004</v>
      </c>
      <c r="F18" s="11">
        <v>0.5</v>
      </c>
      <c r="G18" s="11">
        <v>0.40000000000000002</v>
      </c>
      <c r="H18" s="11" t="s">
        <v>268</v>
      </c>
    </row>
    <row r="19" ht="60">
      <c r="A19" s="11">
        <v>18</v>
      </c>
      <c r="B19" s="11" t="s">
        <v>269</v>
      </c>
      <c r="C19" s="11" t="s">
        <v>270</v>
      </c>
      <c r="D19" s="11" t="s">
        <v>231</v>
      </c>
      <c r="E19" s="11">
        <v>0.40000000000000002</v>
      </c>
      <c r="F19" s="11">
        <v>0.69999999999999996</v>
      </c>
      <c r="G19" s="11">
        <v>0.28000000000000003</v>
      </c>
      <c r="H19" s="11" t="s">
        <v>271</v>
      </c>
    </row>
    <row r="20" ht="45">
      <c r="A20" s="11">
        <v>19</v>
      </c>
      <c r="B20" s="11" t="s">
        <v>272</v>
      </c>
      <c r="C20" s="11" t="s">
        <v>273</v>
      </c>
      <c r="D20" s="11" t="s">
        <v>224</v>
      </c>
      <c r="E20" s="11">
        <v>0.40000000000000002</v>
      </c>
      <c r="F20" s="11">
        <v>0.69999999999999996</v>
      </c>
      <c r="G20" s="11">
        <v>0.28000000000000003</v>
      </c>
      <c r="H20" s="11" t="s">
        <v>274</v>
      </c>
    </row>
    <row r="21" ht="45">
      <c r="A21" s="11">
        <v>20</v>
      </c>
      <c r="B21" s="11" t="s">
        <v>275</v>
      </c>
      <c r="C21" s="11" t="s">
        <v>276</v>
      </c>
      <c r="D21" s="11" t="s">
        <v>220</v>
      </c>
      <c r="E21" s="11">
        <v>0.40000000000000002</v>
      </c>
      <c r="F21" s="11">
        <v>0.69999999999999996</v>
      </c>
      <c r="G21" s="11">
        <v>0.28000000000000003</v>
      </c>
      <c r="H21" s="11" t="s">
        <v>277</v>
      </c>
    </row>
    <row r="22" ht="45">
      <c r="A22" s="11">
        <v>21</v>
      </c>
      <c r="B22" s="11" t="s">
        <v>278</v>
      </c>
      <c r="C22" s="11" t="s">
        <v>279</v>
      </c>
      <c r="D22" s="11" t="s">
        <v>224</v>
      </c>
      <c r="E22" s="11">
        <v>0.40000000000000002</v>
      </c>
      <c r="F22" s="11">
        <v>0.69999999999999996</v>
      </c>
      <c r="G22" s="11">
        <v>0.28000000000000003</v>
      </c>
      <c r="H22" s="11" t="s">
        <v>280</v>
      </c>
    </row>
    <row r="23" ht="60">
      <c r="A23" s="11">
        <v>22</v>
      </c>
      <c r="B23" s="11" t="s">
        <v>281</v>
      </c>
      <c r="C23" s="11" t="s">
        <v>282</v>
      </c>
      <c r="D23" s="11" t="s">
        <v>224</v>
      </c>
      <c r="E23" s="11">
        <v>0.40000000000000002</v>
      </c>
      <c r="F23" s="11">
        <v>0.69999999999999996</v>
      </c>
      <c r="G23" s="11">
        <v>0.28000000000000003</v>
      </c>
      <c r="H23" s="11" t="s">
        <v>283</v>
      </c>
    </row>
    <row r="24" ht="45">
      <c r="A24" s="11">
        <v>23</v>
      </c>
      <c r="B24" s="11" t="s">
        <v>284</v>
      </c>
      <c r="C24" s="11" t="s">
        <v>285</v>
      </c>
      <c r="D24" s="11" t="s">
        <v>220</v>
      </c>
      <c r="E24" s="11">
        <v>0.40000000000000002</v>
      </c>
      <c r="F24" s="11">
        <v>0.69999999999999996</v>
      </c>
      <c r="G24" s="11">
        <v>0.28000000000000003</v>
      </c>
      <c r="H24" s="11" t="s">
        <v>286</v>
      </c>
    </row>
    <row r="25" ht="30">
      <c r="A25" s="11">
        <v>24</v>
      </c>
      <c r="B25" s="11" t="s">
        <v>287</v>
      </c>
      <c r="C25" s="11" t="s">
        <v>288</v>
      </c>
      <c r="D25" s="11" t="s">
        <v>220</v>
      </c>
      <c r="E25" s="11">
        <v>0.40000000000000002</v>
      </c>
      <c r="F25" s="11">
        <v>0.69999999999999996</v>
      </c>
      <c r="G25" s="11">
        <v>0.28000000000000003</v>
      </c>
      <c r="H25" s="11" t="s">
        <v>289</v>
      </c>
    </row>
    <row r="26" ht="45">
      <c r="A26" s="11">
        <v>25</v>
      </c>
      <c r="B26" s="11" t="s">
        <v>290</v>
      </c>
      <c r="C26" s="11" t="s">
        <v>291</v>
      </c>
      <c r="D26" s="11" t="s">
        <v>224</v>
      </c>
      <c r="E26" s="11">
        <v>0.80000000000000004</v>
      </c>
      <c r="F26" s="11">
        <v>0.29999999999999999</v>
      </c>
      <c r="G26" s="11">
        <v>0.23999999999999999</v>
      </c>
      <c r="H26" s="11" t="s">
        <v>292</v>
      </c>
    </row>
    <row r="27" ht="45">
      <c r="A27" s="11">
        <v>26</v>
      </c>
      <c r="B27" s="11" t="s">
        <v>293</v>
      </c>
      <c r="C27" s="11" t="s">
        <v>294</v>
      </c>
      <c r="D27" s="11" t="s">
        <v>224</v>
      </c>
      <c r="E27" s="11">
        <v>0.80000000000000004</v>
      </c>
      <c r="F27" s="11">
        <v>0.29999999999999999</v>
      </c>
      <c r="G27" s="11">
        <v>0.23999999999999999</v>
      </c>
      <c r="H27" s="11" t="s">
        <v>295</v>
      </c>
    </row>
    <row r="28" ht="45">
      <c r="A28" s="11">
        <v>27</v>
      </c>
      <c r="B28" s="11" t="s">
        <v>296</v>
      </c>
      <c r="C28" s="11" t="s">
        <v>297</v>
      </c>
      <c r="D28" s="11" t="s">
        <v>231</v>
      </c>
      <c r="E28" s="11">
        <v>0.80000000000000004</v>
      </c>
      <c r="F28" s="11">
        <v>0.29999999999999999</v>
      </c>
      <c r="G28" s="11">
        <v>0.23999999999999999</v>
      </c>
      <c r="H28" s="11" t="s">
        <v>298</v>
      </c>
    </row>
    <row r="29" ht="45">
      <c r="A29" s="152">
        <v>28</v>
      </c>
      <c r="B29" s="11" t="s">
        <v>299</v>
      </c>
      <c r="C29" s="11" t="s">
        <v>300</v>
      </c>
      <c r="D29" s="152" t="s">
        <v>224</v>
      </c>
      <c r="E29" s="152">
        <v>0.80000000000000004</v>
      </c>
      <c r="F29" s="152">
        <v>0.29999999999999999</v>
      </c>
      <c r="G29" s="152">
        <v>0.23999999999999999</v>
      </c>
      <c r="H29" s="152" t="s">
        <v>301</v>
      </c>
    </row>
    <row r="30" ht="45">
      <c r="A30" s="152">
        <v>29</v>
      </c>
      <c r="B30" s="11" t="s">
        <v>302</v>
      </c>
      <c r="C30" s="11" t="s">
        <v>303</v>
      </c>
      <c r="D30" s="152" t="s">
        <v>231</v>
      </c>
      <c r="E30" s="152">
        <v>0.80000000000000004</v>
      </c>
      <c r="F30" s="152">
        <v>0.29999999999999999</v>
      </c>
      <c r="G30" s="152">
        <v>0.23999999999999999</v>
      </c>
      <c r="H30" s="152" t="s">
        <v>304</v>
      </c>
    </row>
    <row r="31" ht="45">
      <c r="A31" s="152">
        <v>30</v>
      </c>
      <c r="B31" s="11" t="s">
        <v>305</v>
      </c>
      <c r="C31" s="11" t="s">
        <v>306</v>
      </c>
      <c r="D31" s="152" t="s">
        <v>216</v>
      </c>
      <c r="E31" s="152">
        <v>0.20000000000000001</v>
      </c>
      <c r="F31" s="152">
        <v>0.90000000000000002</v>
      </c>
      <c r="G31" s="152">
        <v>0.17999999999999999</v>
      </c>
      <c r="H31" s="152" t="s">
        <v>307</v>
      </c>
    </row>
    <row r="32" ht="45">
      <c r="A32" s="152">
        <v>31</v>
      </c>
      <c r="B32" s="11" t="s">
        <v>308</v>
      </c>
      <c r="C32" s="11" t="s">
        <v>309</v>
      </c>
      <c r="D32" s="152" t="s">
        <v>224</v>
      </c>
      <c r="E32" s="152">
        <v>0.20000000000000001</v>
      </c>
      <c r="F32" s="152">
        <v>0.90000000000000002</v>
      </c>
      <c r="G32" s="152">
        <v>0.17999999999999999</v>
      </c>
      <c r="H32" s="152" t="s">
        <v>310</v>
      </c>
    </row>
    <row r="33" ht="45">
      <c r="A33" s="152">
        <v>32</v>
      </c>
      <c r="B33" s="11" t="s">
        <v>311</v>
      </c>
      <c r="C33" s="11" t="s">
        <v>312</v>
      </c>
      <c r="D33" s="152" t="s">
        <v>224</v>
      </c>
      <c r="E33" s="152">
        <v>0.20000000000000001</v>
      </c>
      <c r="F33" s="152">
        <v>0.90000000000000002</v>
      </c>
      <c r="G33" s="152">
        <v>0.17999999999999999</v>
      </c>
      <c r="H33" s="152" t="s">
        <v>313</v>
      </c>
    </row>
    <row r="34" ht="45">
      <c r="A34" s="152">
        <v>33</v>
      </c>
      <c r="B34" s="11" t="s">
        <v>314</v>
      </c>
      <c r="C34" s="11" t="s">
        <v>315</v>
      </c>
      <c r="D34" s="152" t="s">
        <v>216</v>
      </c>
      <c r="E34" s="152">
        <v>0.20000000000000001</v>
      </c>
      <c r="F34" s="152">
        <v>0.69999999999999996</v>
      </c>
      <c r="G34" s="152">
        <v>0.14000000000000001</v>
      </c>
      <c r="H34" s="152" t="s">
        <v>316</v>
      </c>
    </row>
    <row r="35" ht="30">
      <c r="A35" s="152">
        <v>34</v>
      </c>
      <c r="B35" s="11" t="s">
        <v>317</v>
      </c>
      <c r="C35" s="11" t="s">
        <v>318</v>
      </c>
      <c r="D35" s="152" t="s">
        <v>220</v>
      </c>
      <c r="E35" s="152">
        <v>0.20000000000000001</v>
      </c>
      <c r="F35" s="152">
        <v>0.69999999999999996</v>
      </c>
      <c r="G35" s="152">
        <v>0.14000000000000001</v>
      </c>
      <c r="H35" s="152" t="s">
        <v>319</v>
      </c>
    </row>
    <row r="36" ht="30">
      <c r="A36" s="152">
        <v>35</v>
      </c>
      <c r="B36" s="11" t="s">
        <v>320</v>
      </c>
      <c r="C36" s="11" t="s">
        <v>321</v>
      </c>
      <c r="D36" s="152" t="s">
        <v>224</v>
      </c>
      <c r="E36" s="152">
        <v>0.20000000000000001</v>
      </c>
      <c r="F36" s="152">
        <v>0.69999999999999996</v>
      </c>
      <c r="G36" s="152">
        <v>0.14000000000000001</v>
      </c>
      <c r="H36" s="152" t="s">
        <v>322</v>
      </c>
    </row>
    <row r="37" ht="45">
      <c r="A37" s="152">
        <v>36</v>
      </c>
      <c r="B37" s="11" t="s">
        <v>323</v>
      </c>
      <c r="C37" s="11" t="s">
        <v>324</v>
      </c>
      <c r="D37" s="152" t="s">
        <v>231</v>
      </c>
      <c r="E37" s="152">
        <v>0.20000000000000001</v>
      </c>
      <c r="F37" s="152">
        <v>0.69999999999999996</v>
      </c>
      <c r="G37" s="152">
        <v>0.14000000000000001</v>
      </c>
      <c r="H37" s="152" t="s">
        <v>325</v>
      </c>
    </row>
    <row r="38" ht="30">
      <c r="A38" s="11">
        <v>37</v>
      </c>
      <c r="B38" s="11" t="s">
        <v>326</v>
      </c>
      <c r="C38" s="11" t="s">
        <v>327</v>
      </c>
      <c r="D38" s="11" t="s">
        <v>216</v>
      </c>
      <c r="E38" s="11">
        <v>0.40000000000000002</v>
      </c>
      <c r="F38" s="11">
        <v>0.29999999999999999</v>
      </c>
      <c r="G38" s="11">
        <v>0.12</v>
      </c>
      <c r="H38" s="11" t="s">
        <v>328</v>
      </c>
    </row>
    <row r="39" ht="45">
      <c r="A39" s="11">
        <v>38</v>
      </c>
      <c r="B39" s="11" t="s">
        <v>329</v>
      </c>
      <c r="C39" s="11" t="s">
        <v>330</v>
      </c>
      <c r="D39" s="11" t="s">
        <v>220</v>
      </c>
      <c r="E39" s="11">
        <v>0.40000000000000002</v>
      </c>
      <c r="F39" s="11">
        <v>0.29999999999999999</v>
      </c>
      <c r="G39" s="11">
        <v>0.12</v>
      </c>
      <c r="H39" s="11" t="s">
        <v>331</v>
      </c>
    </row>
    <row r="40" ht="45">
      <c r="A40" s="11">
        <v>39</v>
      </c>
      <c r="B40" s="11" t="s">
        <v>332</v>
      </c>
      <c r="C40" s="11" t="s">
        <v>333</v>
      </c>
      <c r="D40" s="11" t="s">
        <v>220</v>
      </c>
      <c r="E40" s="11">
        <v>0.40000000000000002</v>
      </c>
      <c r="F40" s="11">
        <v>0.29999999999999999</v>
      </c>
      <c r="G40" s="11">
        <v>0.12</v>
      </c>
      <c r="H40" s="11" t="s">
        <v>334</v>
      </c>
    </row>
    <row r="41" ht="45">
      <c r="A41" s="11">
        <v>40</v>
      </c>
      <c r="B41" s="11" t="s">
        <v>335</v>
      </c>
      <c r="C41" s="11" t="s">
        <v>336</v>
      </c>
      <c r="D41" s="11" t="s">
        <v>224</v>
      </c>
      <c r="E41" s="11">
        <v>0.40000000000000002</v>
      </c>
      <c r="F41" s="11">
        <v>0.29999999999999999</v>
      </c>
      <c r="G41" s="11">
        <v>0.12</v>
      </c>
      <c r="H41" s="11" t="s">
        <v>337</v>
      </c>
    </row>
    <row r="42" ht="30">
      <c r="A42" s="11">
        <v>41</v>
      </c>
      <c r="B42" s="11" t="s">
        <v>338</v>
      </c>
      <c r="C42" s="11" t="s">
        <v>339</v>
      </c>
      <c r="D42" s="11" t="s">
        <v>231</v>
      </c>
      <c r="E42" s="11">
        <v>0.20000000000000001</v>
      </c>
      <c r="F42" s="11">
        <v>0.5</v>
      </c>
      <c r="G42" s="11">
        <v>0.10000000000000001</v>
      </c>
      <c r="H42" s="11" t="s">
        <v>340</v>
      </c>
    </row>
    <row r="43" ht="30">
      <c r="A43" s="11">
        <v>42</v>
      </c>
      <c r="B43" s="11" t="s">
        <v>341</v>
      </c>
      <c r="C43" s="11" t="s">
        <v>342</v>
      </c>
      <c r="D43" s="11" t="s">
        <v>216</v>
      </c>
      <c r="E43" s="11">
        <v>0.20000000000000001</v>
      </c>
      <c r="F43" s="11">
        <v>0.5</v>
      </c>
      <c r="G43" s="11">
        <v>0.10000000000000001</v>
      </c>
      <c r="H43" s="11" t="s">
        <v>343</v>
      </c>
    </row>
    <row r="44" ht="30">
      <c r="A44" s="11">
        <v>43</v>
      </c>
      <c r="B44" s="11" t="s">
        <v>344</v>
      </c>
      <c r="C44" s="11" t="s">
        <v>345</v>
      </c>
      <c r="D44" s="11" t="s">
        <v>216</v>
      </c>
      <c r="E44" s="11">
        <v>0.10000000000000001</v>
      </c>
      <c r="F44" s="11">
        <v>0.69999999999999996</v>
      </c>
      <c r="G44" s="11">
        <v>0.070000000000000007</v>
      </c>
      <c r="H44" s="11" t="s">
        <v>346</v>
      </c>
    </row>
    <row r="45" ht="30">
      <c r="A45" s="11">
        <v>44</v>
      </c>
      <c r="B45" s="11" t="s">
        <v>347</v>
      </c>
      <c r="C45" s="11" t="s">
        <v>348</v>
      </c>
      <c r="D45" s="11" t="s">
        <v>216</v>
      </c>
      <c r="E45" s="11">
        <v>0.10000000000000001</v>
      </c>
      <c r="F45" s="11">
        <v>0.69999999999999996</v>
      </c>
      <c r="G45" s="11">
        <v>0.070000000000000007</v>
      </c>
      <c r="H45" s="11" t="s">
        <v>349</v>
      </c>
    </row>
    <row r="46" ht="45">
      <c r="A46" s="11">
        <v>45</v>
      </c>
      <c r="B46" s="11" t="s">
        <v>350</v>
      </c>
      <c r="C46" s="11" t="s">
        <v>351</v>
      </c>
      <c r="D46" s="11" t="s">
        <v>352</v>
      </c>
      <c r="E46" s="11">
        <v>0.40000000000000002</v>
      </c>
      <c r="F46" s="11">
        <v>0.29999999999999999</v>
      </c>
      <c r="G46" s="11">
        <v>0.12</v>
      </c>
      <c r="H46" s="11" t="s">
        <v>353</v>
      </c>
    </row>
    <row r="47" ht="15">
      <c r="A47" t="s">
        <v>354</v>
      </c>
      <c r="G47" s="153">
        <f>SUM(G1:G46)</f>
        <v>13.759999999999998</v>
      </c>
    </row>
    <row r="49" ht="15">
      <c r="A49" t="s">
        <v>355</v>
      </c>
    </row>
    <row r="51" ht="15">
      <c r="B51" s="154" t="s">
        <v>356</v>
      </c>
      <c r="C51" s="154" t="s">
        <v>357</v>
      </c>
    </row>
    <row r="52" ht="15">
      <c r="B52" s="155">
        <v>78</v>
      </c>
      <c r="C52" s="155">
        <v>86</v>
      </c>
    </row>
    <row r="54" ht="15">
      <c r="B54" s="154" t="s">
        <v>358</v>
      </c>
      <c r="C54" s="154" t="s">
        <v>357</v>
      </c>
    </row>
    <row r="55" ht="15">
      <c r="B55" s="156">
        <v>2451262.8399999999</v>
      </c>
      <c r="C55" s="156">
        <v>2696389.1200000001</v>
      </c>
    </row>
    <row r="59" ht="15">
      <c r="B59" s="157" t="s">
        <v>359</v>
      </c>
      <c r="C59" s="157" t="s">
        <v>360</v>
      </c>
    </row>
    <row r="60" ht="15">
      <c r="B60" s="158" t="s">
        <v>361</v>
      </c>
      <c r="C60" s="158">
        <v>0.050000000000000003</v>
      </c>
    </row>
    <row r="61" ht="15">
      <c r="B61" s="158" t="s">
        <v>362</v>
      </c>
      <c r="C61" s="158">
        <v>0.10000000000000001</v>
      </c>
    </row>
    <row r="62" ht="15">
      <c r="B62" s="158" t="s">
        <v>363</v>
      </c>
      <c r="C62" s="158">
        <v>0.20000000000000001</v>
      </c>
    </row>
    <row r="63" ht="15">
      <c r="B63" s="158" t="s">
        <v>364</v>
      </c>
      <c r="C63" s="158">
        <v>0.40000000000000002</v>
      </c>
    </row>
    <row r="64" ht="15">
      <c r="B64" s="158" t="s">
        <v>365</v>
      </c>
      <c r="C64" s="158">
        <v>0.80000000000000004</v>
      </c>
    </row>
    <row r="65" ht="15">
      <c r="B65" s="159"/>
      <c r="C65" s="159"/>
    </row>
    <row r="66" ht="15">
      <c r="B66" s="157" t="s">
        <v>366</v>
      </c>
      <c r="C66" s="157" t="s">
        <v>360</v>
      </c>
    </row>
    <row r="67" ht="15">
      <c r="B67" s="158" t="s">
        <v>367</v>
      </c>
      <c r="C67" s="158">
        <v>0.10000000000000001</v>
      </c>
    </row>
    <row r="68" ht="15">
      <c r="B68" s="158" t="s">
        <v>368</v>
      </c>
      <c r="C68" s="158">
        <v>0.29999999999999999</v>
      </c>
    </row>
    <row r="69" ht="15">
      <c r="B69" s="158" t="s">
        <v>369</v>
      </c>
      <c r="C69" s="158">
        <v>0.5</v>
      </c>
    </row>
    <row r="70" ht="15">
      <c r="B70" s="158" t="s">
        <v>370</v>
      </c>
      <c r="C70" s="158">
        <v>0.69999999999999996</v>
      </c>
    </row>
    <row r="71" ht="15">
      <c r="B71" s="158" t="s">
        <v>371</v>
      </c>
      <c r="C71" s="158">
        <v>0.90000000000000002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5"/>
  <cols>
    <col customWidth="1" min="1" max="1" width="19.1797"/>
    <col customWidth="1" min="2" max="2" width="9.4531200000000002"/>
    <col customWidth="1" min="3" max="3" width="11.9062"/>
    <col customWidth="1" min="4" max="4" width="11.363300000000001"/>
    <col customWidth="1" min="5" max="5" width="10.363300000000001"/>
    <col customWidth="1" min="6" max="6" width="10.6328"/>
    <col customWidth="1" min="7" max="11" width="8.88671875"/>
    <col customWidth="1" min="12" max="12" width="12.269500000000001"/>
    <col customWidth="1" min="13" max="13" width="6.3632799999999996"/>
    <col customWidth="1" min="14" max="14" width="29.6328"/>
  </cols>
  <sheetData>
    <row r="1" ht="150">
      <c r="A1" s="37" t="s">
        <v>372</v>
      </c>
      <c r="B1" s="37" t="s">
        <v>135</v>
      </c>
      <c r="C1" s="37" t="s">
        <v>134</v>
      </c>
      <c r="D1" s="37" t="s">
        <v>138</v>
      </c>
      <c r="E1" s="37" t="s">
        <v>140</v>
      </c>
      <c r="F1" s="37" t="s">
        <v>142</v>
      </c>
      <c r="G1" s="37" t="s">
        <v>144</v>
      </c>
      <c r="H1" s="37" t="s">
        <v>146</v>
      </c>
      <c r="I1" s="37" t="s">
        <v>148</v>
      </c>
      <c r="J1" s="160"/>
      <c r="K1" s="45"/>
      <c r="L1" s="45"/>
      <c r="M1" s="45"/>
      <c r="N1" s="161" t="s">
        <v>373</v>
      </c>
    </row>
    <row r="2" ht="45">
      <c r="A2" s="40" t="s">
        <v>374</v>
      </c>
      <c r="B2" s="37" t="s">
        <v>375</v>
      </c>
      <c r="C2" s="37" t="s">
        <v>376</v>
      </c>
      <c r="D2" s="37" t="s">
        <v>377</v>
      </c>
      <c r="E2" s="37" t="s">
        <v>375</v>
      </c>
      <c r="F2" s="37" t="s">
        <v>377</v>
      </c>
      <c r="G2" s="37" t="s">
        <v>375</v>
      </c>
      <c r="H2" s="37" t="s">
        <v>378</v>
      </c>
      <c r="I2" s="37" t="s">
        <v>375</v>
      </c>
      <c r="J2" s="160"/>
      <c r="K2" s="45"/>
      <c r="L2" s="45"/>
      <c r="M2" s="45"/>
      <c r="N2" s="162"/>
    </row>
    <row r="3" ht="30">
      <c r="A3" s="40" t="s">
        <v>379</v>
      </c>
      <c r="B3" s="37" t="s">
        <v>375</v>
      </c>
      <c r="C3" s="37" t="s">
        <v>376</v>
      </c>
      <c r="D3" s="37" t="s">
        <v>377</v>
      </c>
      <c r="E3" s="37" t="s">
        <v>377</v>
      </c>
      <c r="F3" s="37" t="s">
        <v>378</v>
      </c>
      <c r="G3" s="37" t="s">
        <v>375</v>
      </c>
      <c r="H3" s="37" t="s">
        <v>377</v>
      </c>
      <c r="I3" s="37" t="s">
        <v>375</v>
      </c>
      <c r="J3" s="160"/>
      <c r="K3" s="45"/>
      <c r="L3" s="45"/>
      <c r="M3" s="45"/>
      <c r="N3" s="162"/>
    </row>
    <row r="4" ht="30">
      <c r="A4" s="40" t="s">
        <v>380</v>
      </c>
      <c r="B4" s="37" t="s">
        <v>375</v>
      </c>
      <c r="C4" s="37" t="s">
        <v>376</v>
      </c>
      <c r="D4" s="37" t="s">
        <v>377</v>
      </c>
      <c r="E4" s="37" t="s">
        <v>378</v>
      </c>
      <c r="F4" s="37" t="s">
        <v>377</v>
      </c>
      <c r="G4" s="37" t="s">
        <v>375</v>
      </c>
      <c r="H4" s="37" t="s">
        <v>375</v>
      </c>
      <c r="I4" s="37" t="s">
        <v>375</v>
      </c>
      <c r="J4" s="160"/>
      <c r="K4" s="45"/>
      <c r="L4" s="45"/>
      <c r="M4" s="45"/>
      <c r="N4" s="162"/>
    </row>
    <row r="5" ht="45">
      <c r="A5" s="40" t="s">
        <v>381</v>
      </c>
      <c r="B5" s="37" t="s">
        <v>375</v>
      </c>
      <c r="C5" s="37" t="s">
        <v>376</v>
      </c>
      <c r="D5" s="37" t="s">
        <v>377</v>
      </c>
      <c r="E5" s="37" t="s">
        <v>378</v>
      </c>
      <c r="F5" s="37" t="s">
        <v>375</v>
      </c>
      <c r="G5" s="37" t="s">
        <v>377</v>
      </c>
      <c r="H5" s="37" t="s">
        <v>375</v>
      </c>
      <c r="I5" s="37" t="s">
        <v>377</v>
      </c>
      <c r="J5" s="160"/>
      <c r="K5" s="163"/>
      <c r="L5" s="163"/>
      <c r="M5" s="45"/>
      <c r="N5" s="162"/>
    </row>
    <row r="6" ht="45">
      <c r="A6" s="40" t="s">
        <v>382</v>
      </c>
      <c r="B6" s="37" t="s">
        <v>375</v>
      </c>
      <c r="C6" s="37" t="s">
        <v>376</v>
      </c>
      <c r="D6" s="37" t="s">
        <v>377</v>
      </c>
      <c r="E6" s="37" t="s">
        <v>378</v>
      </c>
      <c r="F6" s="37" t="s">
        <v>377</v>
      </c>
      <c r="G6" s="37" t="s">
        <v>377</v>
      </c>
      <c r="H6" s="37" t="s">
        <v>375</v>
      </c>
      <c r="I6" s="37" t="s">
        <v>375</v>
      </c>
      <c r="J6" s="160"/>
      <c r="K6" s="45"/>
      <c r="L6" s="45"/>
      <c r="M6" s="34"/>
      <c r="N6" s="164"/>
    </row>
    <row r="7" ht="30">
      <c r="A7" s="40" t="s">
        <v>383</v>
      </c>
      <c r="B7" s="37" t="s">
        <v>375</v>
      </c>
      <c r="C7" s="37" t="s">
        <v>377</v>
      </c>
      <c r="D7" s="37" t="s">
        <v>375</v>
      </c>
      <c r="E7" s="37" t="s">
        <v>377</v>
      </c>
      <c r="F7" s="37" t="s">
        <v>375</v>
      </c>
      <c r="G7" s="37" t="s">
        <v>384</v>
      </c>
      <c r="H7" s="37" t="s">
        <v>375</v>
      </c>
      <c r="I7" s="37" t="s">
        <v>377</v>
      </c>
      <c r="J7" s="160"/>
      <c r="K7" s="34"/>
      <c r="L7" s="34"/>
      <c r="M7" s="34"/>
      <c r="N7" s="164"/>
    </row>
    <row r="8" ht="30">
      <c r="A8" s="40" t="s">
        <v>385</v>
      </c>
      <c r="B8" s="37" t="s">
        <v>375</v>
      </c>
      <c r="C8" s="37" t="s">
        <v>376</v>
      </c>
      <c r="D8" s="37" t="s">
        <v>375</v>
      </c>
      <c r="E8" s="37" t="s">
        <v>377</v>
      </c>
      <c r="F8" s="37" t="s">
        <v>378</v>
      </c>
      <c r="G8" s="37" t="s">
        <v>377</v>
      </c>
      <c r="H8" s="37" t="s">
        <v>377</v>
      </c>
      <c r="I8" s="37" t="s">
        <v>375</v>
      </c>
      <c r="J8" s="160"/>
      <c r="K8" s="34"/>
      <c r="L8" s="34"/>
      <c r="M8" s="34"/>
      <c r="N8" s="164"/>
    </row>
    <row r="9" ht="45">
      <c r="A9" s="40" t="s">
        <v>386</v>
      </c>
      <c r="B9" s="37" t="s">
        <v>375</v>
      </c>
      <c r="C9" s="37" t="s">
        <v>376</v>
      </c>
      <c r="D9" s="37" t="s">
        <v>375</v>
      </c>
      <c r="E9" s="37" t="s">
        <v>377</v>
      </c>
      <c r="F9" s="37" t="s">
        <v>378</v>
      </c>
      <c r="G9" s="37" t="s">
        <v>375</v>
      </c>
      <c r="H9" s="37" t="s">
        <v>375</v>
      </c>
      <c r="I9" s="37" t="s">
        <v>377</v>
      </c>
      <c r="J9" s="160"/>
      <c r="K9" s="34"/>
      <c r="L9" s="34"/>
      <c r="M9" s="34"/>
      <c r="N9" s="164"/>
    </row>
    <row r="10" ht="45">
      <c r="A10" s="165" t="s">
        <v>387</v>
      </c>
      <c r="B10" s="166" t="s">
        <v>375</v>
      </c>
      <c r="C10" s="166" t="s">
        <v>376</v>
      </c>
      <c r="D10" s="166" t="s">
        <v>377</v>
      </c>
      <c r="E10" s="166" t="s">
        <v>378</v>
      </c>
      <c r="F10" s="166" t="s">
        <v>375</v>
      </c>
      <c r="G10" s="166" t="s">
        <v>375</v>
      </c>
      <c r="H10" s="166" t="s">
        <v>375</v>
      </c>
      <c r="I10" s="166" t="s">
        <v>377</v>
      </c>
      <c r="J10" s="167"/>
      <c r="K10" s="168"/>
      <c r="L10" s="168"/>
      <c r="M10" s="168"/>
      <c r="N10" s="164"/>
    </row>
    <row r="11" ht="30">
      <c r="A11" s="165" t="s">
        <v>388</v>
      </c>
      <c r="B11" s="166" t="s">
        <v>375</v>
      </c>
      <c r="C11" s="166" t="s">
        <v>376</v>
      </c>
      <c r="D11" s="166" t="s">
        <v>377</v>
      </c>
      <c r="E11" s="166" t="s">
        <v>377</v>
      </c>
      <c r="F11" s="166" t="s">
        <v>377</v>
      </c>
      <c r="G11" s="166" t="s">
        <v>377</v>
      </c>
      <c r="H11" s="166" t="s">
        <v>375</v>
      </c>
      <c r="I11" s="166" t="s">
        <v>378</v>
      </c>
      <c r="J11" s="167"/>
      <c r="K11" s="168"/>
      <c r="L11" s="168"/>
      <c r="M11" s="168"/>
      <c r="N11" s="164"/>
    </row>
    <row r="12" ht="15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4"/>
    </row>
    <row r="13" ht="15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4"/>
    </row>
    <row r="14" ht="15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melzidinov_aa</dc:creator>
  <cp:revision>3</cp:revision>
  <dcterms:created xsi:type="dcterms:W3CDTF">2011-07-07T06:24:00Z</dcterms:created>
  <dcterms:modified xsi:type="dcterms:W3CDTF">2026-04-27T14:18:02Z</dcterms:modified>
  <cp:version>1048576</cp:version>
</cp:coreProperties>
</file>