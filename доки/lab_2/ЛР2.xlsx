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styles.xml" ContentType="application/vnd.openxmlformats-officedocument.spreadsheetml.styles+xml"/>
  <Override PartName="/xl/threadedComments/threadedComment4.xml" ContentType="application/vnd.ms-excel.threadedcomment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persons/person.xml" ContentType="application/vnd.ms-excel.perso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threadedComments/threadedComment2.xml" ContentType="application/vnd.ms-excel.threaded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8"/>
  </bookViews>
  <sheets>
    <sheet name="Паспорт проекта" sheetId="1" state="visible" r:id="rId2"/>
    <sheet name="Подготовка данных" sheetId="2" state="visible" r:id="rId3"/>
    <sheet name="Моделирование" sheetId="3" state="visible" r:id="rId4"/>
    <sheet name="Оценка результата " sheetId="4" state="visible" r:id="rId5"/>
    <sheet name="Внедрение" sheetId="5" state="visible" r:id="rId6"/>
    <sheet name="Временные ограничения" sheetId="6" state="visible" r:id="rId7"/>
    <sheet name="Трудовые ограничения" sheetId="7" state="visible" r:id="rId8"/>
    <sheet name="Технические ограничения" sheetId="8" state="visible" r:id="rId9"/>
    <sheet name="Смета (финансовые ограничения)" sheetId="9" state="visible" r:id="rId10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tc={3AAECF60-C511-EB79-8549-2CEA0DEA6E71}</author>
    <author>tc={008B0096-002F-4BB6-B692-00D2002F006B}</author>
  </authors>
  <commentList>
    <comment ref="A21" authorId="0" xr:uid="{3AAECF60-C511-EB79-8549-2CEA0DEA6E71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пречислить верхнеуровневые риски - 3-5
</t>
        </r>
      </text>
    </comment>
    <comment ref="A6" authorId="1" xr:uid="{008B0096-002F-4BB6-B692-00D2002F006B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Определяем достижение цели через количественные показатели - минимум 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tc={00970021-002F-40A7-896F-008300EB00FE}</author>
    <author>tc={20CCCDD9-EC7C-F606-D4A3-A95821014B27}</author>
  </authors>
  <commentList>
    <comment ref="A1" authorId="0" xr:uid="{00970021-002F-40A7-896F-008300EB00FE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Перечислить состав команды, з/п в месяц и продолжительность задействования в проекте по каждому сотруднику
</t>
        </r>
      </text>
    </comment>
    <comment ref="A2" authorId="1" xr:uid="{20CCCDD9-EC7C-F606-D4A3-A95821014B2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Перечислить состав команды, з/п в месяц и продолжительность задействования в проекте по каждому сотруднику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tc={59873D8E-AC83-C4A9-EE0E-167176948FCD}</author>
  </authors>
  <commentList>
    <comment ref="E3" authorId="0" xr:uid="{59873D8E-AC83-C4A9-EE0E-167176948FCD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(Количество × Стоимость) × коэффициент удорожания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tc={079DEF54-F22F-7756-67A8-D357A9051819}</author>
  </authors>
  <commentList>
    <comment ref="A27" authorId="0" xr:uid="{079DEF54-F22F-7756-67A8-D357A9051819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Итоговая стоимость по техническим ограничениям
</t>
        </r>
      </text>
    </comment>
  </commentList>
</comments>
</file>

<file path=xl/sharedStrings.xml><?xml version="1.0" encoding="utf-8"?>
<sst xmlns="http://schemas.openxmlformats.org/spreadsheetml/2006/main" count="183" uniqueCount="183">
  <si>
    <t xml:space="preserve">Рабочее название проекта</t>
  </si>
  <si>
    <t xml:space="preserve">Онлайн-сервис ИИ-редактирования изображений с функцией переноса пользовательского стиля</t>
  </si>
  <si>
    <t xml:space="preserve">Дата создания и версия документа</t>
  </si>
  <si>
    <t xml:space="preserve">09.04.2026, версия 1.0</t>
  </si>
  <si>
    <t xml:space="preserve">Ссылка на репозиторий</t>
  </si>
  <si>
    <t xml:space="preserve">Проблема, которую решает проект</t>
  </si>
  <si>
    <t xml:space="preserve">Дизайнеры, контент-мейкеры, SMM-специалисты, небольшие интернет-магазины и продавцы на маркетплейсах. В данный момент они сталкиваются с тем, что быстро выполнить качественную стилизацию и базовое редактирование изображений в едином визуальном стиле с использованием собственных референсов затруднительно: существующие сервисы либо перегружены лишними функциями, либо ограничивают работу с пользовательским стилем, либо требуют длительной ручной обработки. Из-за этого пользователи теряют время на подготовку визуального контента, несут дополнительные затраты на ручной дизайн и не могут быстро получать готовые изображения в едином фирменном стиле.</t>
  </si>
  <si>
    <t xml:space="preserve">Цель проекта</t>
  </si>
  <si>
    <t xml:space="preserve">Разработать к 30.06.2026 MVP онлайн-сервиса ИИ-редактирования изображений с функцией переноса пользовательского стиля, который позволит сократить среднее время подготовки одного изображения не менее чем на 40% по сравнению с ручной обработкой.</t>
  </si>
  <si>
    <t xml:space="preserve">Метрики оценки эффективности</t>
  </si>
  <si>
    <t xml:space="preserve">1. Сокращение среднего времени подготовки одного изображения не менее чем на 40% по сравнению с ручной обработкой.
2. Доля успешно обработанных изображений без критических ошибок — не менее 90%.
3. Среднее время обработки одного изображения в сервисе — не более 2 минут.
4. Доля пользователей, удовлетворённых качеством результата обработки, — не менее 80% по итогам пользовательского тестирования.</t>
  </si>
  <si>
    <t xml:space="preserve">Экономическое обоснование проекта</t>
  </si>
  <si>
    <t xml:space="preserve">Внедрение онлайн-сервиса ИИ-редактирования изображений с функцией переноса пользовательского стиля позволит сократить трудозатраты на подготовку визуального контента не менее чем на 40% по сравнению с ручной обработкой, снизить расходы на рутинный дизайн и ускорить выпуск контента для маркетинга, интернет-магазинов и социальных сетей. Дополнительный эффект достигается за счет обеспечения единообразного фирменного стиля изображений без необходимости постоянного привлечения дизайнера. В случае отказа от реализации проекта сохраняются высокие временные затраты на ручную обработку изображений, возрастает риск несогласованности визуального контента и снижается скорость подготовки материалов для публикации и продаж.</t>
  </si>
  <si>
    <t xml:space="preserve">входные данные</t>
  </si>
  <si>
    <t xml:space="preserve">Оценка полноты входных данных</t>
  </si>
  <si>
    <t xml:space="preserve">выходные данные</t>
  </si>
  <si>
    <t xml:space="preserve">Функциональные задачи проекта</t>
  </si>
  <si>
    <t xml:space="preserve">Регистрация и авторизация пользователей</t>
  </si>
  <si>
    <t xml:space="preserve">Email, логин, пароль, данные учетной записи пользователя</t>
  </si>
  <si>
    <t xml:space="preserve">Данные полностью доступны, формируются пользователем; качество зависит от корректности ввода, требуется валидация email и пароля</t>
  </si>
  <si>
    <t xml:space="preserve">Созданная учетная запись пользователя, авторизованная сессия</t>
  </si>
  <si>
    <t xml:space="preserve">Загрузка исходных изображений для обработки</t>
  </si>
  <si>
    <t xml:space="preserve">Файлы изображений пользователя в форматах JPG, PNG, WEBP</t>
  </si>
  <si>
    <t xml:space="preserve">Данные доступны при загрузке пользователем; возможны ограничения по формату, размеру и качеству изображения</t>
  </si>
  <si>
    <t xml:space="preserve">Загруженное и сохраненное исходное изображение, готовое к обработке</t>
  </si>
  <si>
    <t xml:space="preserve">Загрузка набора пользовательских референсов для задания стиля</t>
  </si>
  <si>
    <t xml:space="preserve">Набор изображений-референсов, выбранных пользователем</t>
  </si>
  <si>
    <t xml:space="preserve">Полнота данных зависит от количества и качества референсов; при малом количестве или низком качестве возможна деградация результата</t>
  </si>
  <si>
    <t xml:space="preserve">Загруженный набор референсов, подготовленный для дальнейшего анализа и применения стиля</t>
  </si>
  <si>
    <t xml:space="preserve">Применение переноса стиля к загруженному изображению</t>
  </si>
  <si>
    <t xml:space="preserve">Исходное изображение, пользовательские референсы, параметры модели стилизации</t>
  </si>
  <si>
    <t xml:space="preserve">Данные частично зависят от пользователя и частично от ML-модуля; требуется достаточное качество входных изображений и корректная настройка модели</t>
  </si>
  <si>
    <t xml:space="preserve">Стилизованное изображение в заданном пользовательском стиле</t>
  </si>
  <si>
    <t xml:space="preserve">Базовое ИИ-редактирование изображений: улучшение качества, изменение размера, удаление фона</t>
  </si>
  <si>
    <t xml:space="preserve">Исходное изображение, параметры выбранной операции обработки</t>
  </si>
  <si>
    <t xml:space="preserve">Данные в целом доступны и достаточны; качество результата зависит от разрешения изображения и корректности выделения объектов</t>
  </si>
  <si>
    <t xml:space="preserve">Обработанное изображение с улучшенным качеством, измененным размером или удаленным фоном</t>
  </si>
  <si>
    <t xml:space="preserve">Предпросмотр результата до сохранения</t>
  </si>
  <si>
    <t xml:space="preserve">Полученное обработанное изображение, параметры отображения</t>
  </si>
  <si>
    <t xml:space="preserve">Данные полностью доступны после завершения обработки; ограничений по полноте практически нет</t>
  </si>
  <si>
    <t xml:space="preserve">Предпросмотр результата обработки в интерфейсе сервиса</t>
  </si>
  <si>
    <t xml:space="preserve">Сохранение и скачивание обработанных изображений</t>
  </si>
  <si>
    <t xml:space="preserve">Итоговое обработанное изображение, параметры формата и имени файла</t>
  </si>
  <si>
    <t xml:space="preserve">Данные полностью доступны при успешном завершении обработки; требуется доступное файловое хранилище</t>
  </si>
  <si>
    <t xml:space="preserve">Сохраненное изображение в системе и файл, доступный для скачивания пользователем</t>
  </si>
  <si>
    <t xml:space="preserve">Хранение истории обработок в личном кабинете пользователя</t>
  </si>
  <si>
    <t xml:space="preserve">Данные учетной записи, метаданные обработок, ссылки на исходные и итоговые файлы</t>
  </si>
  <si>
    <t xml:space="preserve">Данные формируются автоматически; полнота высокая при корректной работе БД и хранилища</t>
  </si>
  <si>
    <t xml:space="preserve">История выполненных обработок, доступная пользователю в личном кабинете</t>
  </si>
  <si>
    <t xml:space="preserve">Основные результаты проекта</t>
  </si>
  <si>
    <t xml:space="preserve">Работоспособный MVP веб-сервиса ИИ-редактирования изображений.
ML-модуль переноса пользовательского стиля и базовой обработки изображений.
Backend/API для загрузки, обработки и хранения результатов.
База данных пользователей, задач обработки и истории операций.
Пользовательская и техническая документация.
Отчет о тестировании и результатах апробации.</t>
  </si>
  <si>
    <t xml:space="preserve">  Дата начала</t>
  </si>
  <si>
    <t>14.04.2026</t>
  </si>
  <si>
    <t xml:space="preserve">Дата завершения</t>
  </si>
  <si>
    <t>30.06.2026</t>
  </si>
  <si>
    <t xml:space="preserve">Ожидаемый эффект</t>
  </si>
  <si>
    <t xml:space="preserve">Сокращение времени подготовки визуального контента не менее чем на 40%.
Снижение доли ручных рутинных операций при обработке изображений.
Обеспечение единообразного визуального стиля контента за счет использования пользовательских референсов.
Повышение доступности ИИ-инструментов обработки изображений для малых команд и индивидуальных специалистов.</t>
  </si>
  <si>
    <t xml:space="preserve">Бюджет (руб.)</t>
  </si>
  <si>
    <t xml:space="preserve">Основные риски проекта</t>
  </si>
  <si>
    <t xml:space="preserve">Технические риски: снижение качества результата обработки из-за ограничений выбранной модели или недостаточного объема обучающих данных.
Организационные риски: срыв сроков разработки из-за высокой учебной загрузки участников проекта.
Организационные риски: выбывание одного из участников команды или снижение доступности ключевого исполнителя.
Внешние риски: рост стоимости облачных вычислений и хранения данных.
Внешние риски: изменение требований к функционалу сервиса в процессе реализации.</t>
  </si>
  <si>
    <t xml:space="preserve">Источники финансирования</t>
  </si>
  <si>
    <t xml:space="preserve">Собственные средства команды.
Учебные и технические ресурсы университета.
При необходимости — бесплатные или льготные образовательные тарифы облачных сервисов и ПО.</t>
  </si>
  <si>
    <t xml:space="preserve">Лидер проекта</t>
  </si>
  <si>
    <t xml:space="preserve">[ФИО студента], руководитель проекта (Project Manager)</t>
  </si>
  <si>
    <t xml:space="preserve">ER-диаграмма данных или логическая структура данных</t>
  </si>
  <si>
    <t xml:space="preserve">Перечень алгоритмов бэкенд</t>
  </si>
  <si>
    <t>Сроки</t>
  </si>
  <si>
    <t xml:space="preserve">Алгоритм аутентификации и авторизации пользователей</t>
  </si>
  <si>
    <t xml:space="preserve">14.04.2026 – 18.04.2026</t>
  </si>
  <si>
    <t xml:space="preserve">Алгоритм загрузки, валидации и хранения исходных изображений</t>
  </si>
  <si>
    <t xml:space="preserve">19.04.2026 – 23.04.2026</t>
  </si>
  <si>
    <t xml:space="preserve">Алгоритм загрузки и обработки пользовательских референсов стиля</t>
  </si>
  <si>
    <t xml:space="preserve">24.04.2026 – 28.04.2026</t>
  </si>
  <si>
    <t xml:space="preserve">Алгоритм предварительной обработки изображений (изменение размера, нормализация, преобразование форматов)</t>
  </si>
  <si>
    <t xml:space="preserve">29.04.2026 – 04.05.2026</t>
  </si>
  <si>
    <t xml:space="preserve">Алгоритм переноса пользовательского стиля на основе генеративной модели</t>
  </si>
  <si>
    <t xml:space="preserve">05.05.2026 – 15.05.2026</t>
  </si>
  <si>
    <t xml:space="preserve">Алгоритм базового ИИ-редактирования изображений (улучшение качества, удаление фона, изменение размера)</t>
  </si>
  <si>
    <t xml:space="preserve">16.05.2026 – 24.05.2026</t>
  </si>
  <si>
    <t xml:space="preserve">Алгоритм формирования и сохранения результирующего изображения</t>
  </si>
  <si>
    <t xml:space="preserve">25.05.2026 – 28.05.2026</t>
  </si>
  <si>
    <t xml:space="preserve">Алгоритм ведения истории обработок и хранения метаданных в личном кабинете</t>
  </si>
  <si>
    <t xml:space="preserve">29.05.2026 – 02.06.2026</t>
  </si>
  <si>
    <t xml:space="preserve">Алгоритм взаимодействия backend с ML-модулем через API/внутренние сервисы</t>
  </si>
  <si>
    <t xml:space="preserve">03.06.2026 – 10.06.2026</t>
  </si>
  <si>
    <t xml:space="preserve">Алгоритм обработки ошибок, логирования и контроля статусов выполнения задач</t>
  </si>
  <si>
    <t xml:space="preserve">11.06.2026 – 17.06.2026</t>
  </si>
  <si>
    <t xml:space="preserve">Интеграционное тестирование и настройка последовательности выполнения backend-процессов</t>
  </si>
  <si>
    <t xml:space="preserve">18.06.2026 – 24.06.2026</t>
  </si>
  <si>
    <t xml:space="preserve">Финальная отладка и подготовка backend-части к внедрению</t>
  </si>
  <si>
    <t xml:space="preserve">25.06.2026 – 30.06.2026</t>
  </si>
  <si>
    <t>№</t>
  </si>
  <si>
    <t>Мероприятие</t>
  </si>
  <si>
    <t>Срок</t>
  </si>
  <si>
    <t xml:space="preserve">Проверка корректности загрузки и обработки входных изображений различных форматов</t>
  </si>
  <si>
    <t xml:space="preserve">18.06.2026 – 19.06.2026</t>
  </si>
  <si>
    <t xml:space="preserve">Тестирование корректности применения пользовательских референсов стиля</t>
  </si>
  <si>
    <t xml:space="preserve">20.06.2026 – 21.06.2026</t>
  </si>
  <si>
    <t xml:space="preserve">Проверка качества базового ИИ-редактирования изображений (улучшение качества, изменение размера, удаление фона)</t>
  </si>
  <si>
    <t xml:space="preserve">22.06.2026 – 23.06.2026</t>
  </si>
  <si>
    <t xml:space="preserve">Проверка устойчивости сервиса при некорректных входных данных и ошибках пользователя</t>
  </si>
  <si>
    <t xml:space="preserve">24.06.2026 – 25.06.2026</t>
  </si>
  <si>
    <t xml:space="preserve">Сравнение времени обработки изображения с ручной обработкой и оценка достижения целевых метрик</t>
  </si>
  <si>
    <t xml:space="preserve">26.06.2026 – 27.06.2026</t>
  </si>
  <si>
    <t xml:space="preserve">Приемочное пользовательское тестирование интерфейса и качества результатов обработки</t>
  </si>
  <si>
    <t xml:space="preserve">28.06.2026 – 29.06.2026</t>
  </si>
  <si>
    <t xml:space="preserve">Формирование итогового заключения о соответствии решения бизнес-целям проекта</t>
  </si>
  <si>
    <t xml:space="preserve">Подготовка серверной инфраструктуры для размещения backend, ML-модуля и хранилища изображений</t>
  </si>
  <si>
    <t xml:space="preserve">Развертывание backend/API и настройка взаимодействия с ML-модулем обработки изображений</t>
  </si>
  <si>
    <t xml:space="preserve">Настройка интерфейсов загрузки изображений, передачи параметров обработки и выдачи результата пользователю</t>
  </si>
  <si>
    <t xml:space="preserve">Настройка хранения пользовательских данных, истории обработок и результирующих файлов</t>
  </si>
  <si>
    <t xml:space="preserve">Подготовка эксплуатационной документации: руководство пользователя, описание API, инструкция по сопровождению сервиса</t>
  </si>
  <si>
    <t xml:space="preserve">Проведение финальной проверки работоспособности сервиса в целевой среде</t>
  </si>
  <si>
    <t xml:space="preserve">Передача решения заказчику/пользователю и подготовка рекомендаций по дальнейшему сопровождению и развитию</t>
  </si>
  <si>
    <t xml:space="preserve">№ этапа</t>
  </si>
  <si>
    <t xml:space="preserve">Наименование этапа</t>
  </si>
  <si>
    <t xml:space="preserve">дата начала - дата окончания</t>
  </si>
  <si>
    <t xml:space="preserve">Анализ предметной области и формирование требований к онлайн-сервису</t>
  </si>
  <si>
    <t xml:space="preserve">10.02.2026 — 23.02.2026</t>
  </si>
  <si>
    <t xml:space="preserve">Проектирование архитектуры системы и пользовательского интерфейса</t>
  </si>
  <si>
    <t xml:space="preserve">24.02.2026 — 09.03.2026</t>
  </si>
  <si>
    <t xml:space="preserve">Разработка серверной и клиентской части MVP онлайн-сервиса</t>
  </si>
  <si>
    <t xml:space="preserve">10.03.2026 — 30.03.2026</t>
  </si>
  <si>
    <t xml:space="preserve">Интеграция ИИ-модуля стилизации и интеллектуальной обработки изображений</t>
  </si>
  <si>
    <t xml:space="preserve">31.03.2026 — 13.04.2026</t>
  </si>
  <si>
    <t xml:space="preserve">Тестирование, доработка и подготовка проектной документации</t>
  </si>
  <si>
    <t xml:space="preserve">14.04.2026 — 27.04.2026</t>
  </si>
  <si>
    <t>Должность</t>
  </si>
  <si>
    <t xml:space="preserve">Количество человек</t>
  </si>
  <si>
    <t xml:space="preserve">Заработная плата, тыс. руб/мес</t>
  </si>
  <si>
    <t xml:space="preserve">Время работы в проекте, мес</t>
  </si>
  <si>
    <t xml:space="preserve">Руководитель проекта</t>
  </si>
  <si>
    <t xml:space="preserve">Бизнес-аналитик / системный аналитик</t>
  </si>
  <si>
    <t>Backend-разработчик</t>
  </si>
  <si>
    <t>Frontend-разработчик</t>
  </si>
  <si>
    <t>ML-инженер</t>
  </si>
  <si>
    <t>UX/UI-дизайнер</t>
  </si>
  <si>
    <t>Тестировщик</t>
  </si>
  <si>
    <t xml:space="preserve">Компьютеры, оборудование, средства связи и прочее. 
Посчитать сумму затрат на покупку и аренду технических средств, средств и каналов связи и т.п.</t>
  </si>
  <si>
    <t xml:space="preserve">Наименование ограничения</t>
  </si>
  <si>
    <t>Количество</t>
  </si>
  <si>
    <t>Cтоимость</t>
  </si>
  <si>
    <t xml:space="preserve">Общая стоимость с применением коэффициентов</t>
  </si>
  <si>
    <t xml:space="preserve">Рабочая станция для ML-разработки и тестирования модели</t>
  </si>
  <si>
    <t xml:space="preserve">Ноутбук/ПК для разработки клиентской и серверной части</t>
  </si>
  <si>
    <t xml:space="preserve">Аренда облачного GPU-сервера для обучения и тестирования модели</t>
  </si>
  <si>
    <t xml:space="preserve">2 мес</t>
  </si>
  <si>
    <t xml:space="preserve">Аренда VPS-сервера для размещения backend и API</t>
  </si>
  <si>
    <t xml:space="preserve">3 мес</t>
  </si>
  <si>
    <t xml:space="preserve">Облачное хранилище изображений и результатов обработки</t>
  </si>
  <si>
    <t xml:space="preserve">Доменное имя и SSL-сертификат</t>
  </si>
  <si>
    <t xml:space="preserve">Лицензия/подписка на сервис проектирования интерфейсов</t>
  </si>
  <si>
    <t xml:space="preserve">Средства связи и интернет-обеспечение команды</t>
  </si>
  <si>
    <t>Всего</t>
  </si>
  <si>
    <t xml:space="preserve">Приложение 2</t>
  </si>
  <si>
    <t xml:space="preserve">СМЕТА РАСХОДОВ</t>
  </si>
  <si>
    <t xml:space="preserve">
Разработка программного обеспечения _________________________________________________________</t>
  </si>
  <si>
    <t xml:space="preserve">(Наименование работы)</t>
  </si>
  <si>
    <t xml:space="preserve">№ п/п</t>
  </si>
  <si>
    <t xml:space="preserve">Наименование этапа работ</t>
  </si>
  <si>
    <t xml:space="preserve">Исполнитель, принимающий участие в выполнении работ</t>
  </si>
  <si>
    <t xml:space="preserve">Сроки участия в выполнении работ</t>
  </si>
  <si>
    <t xml:space="preserve">Трудозатраты Исполнителя, рабочих чел*часов участия в выполнении работ***</t>
  </si>
  <si>
    <t xml:space="preserve">Стоимость чел*часа работы Исполнителя руб./чел-час</t>
  </si>
  <si>
    <t xml:space="preserve">Стоимость работы Исполнителя, руб.</t>
  </si>
  <si>
    <t xml:space="preserve">Количество </t>
  </si>
  <si>
    <t>начало</t>
  </si>
  <si>
    <t>окончание</t>
  </si>
  <si>
    <t>8=7*6</t>
  </si>
  <si>
    <t xml:space="preserve">Разработка программного обеспечения</t>
  </si>
  <si>
    <t>ИТОГО:</t>
  </si>
  <si>
    <t xml:space="preserve">РАСЧЕТ СТОИМОСТИ РАБОТ</t>
  </si>
  <si>
    <t xml:space="preserve">Итого затраты на оплату труда непосредственных исполнителей, руб.</t>
  </si>
  <si>
    <t xml:space="preserve">Накладные расходы по ставке 10 % от стоимости работ непосредственных исполнителей</t>
  </si>
  <si>
    <t xml:space="preserve">Материалы и комплектующие изделия****</t>
  </si>
  <si>
    <t>Спецоборудование****</t>
  </si>
  <si>
    <t xml:space="preserve">Итого себестоимость работы, выполяняемой своими силами, руб.</t>
  </si>
  <si>
    <t xml:space="preserve">Затраты на оплату работ, выполняемых соисполнителями</t>
  </si>
  <si>
    <t xml:space="preserve">Полная себестоимость работ, руб.</t>
  </si>
  <si>
    <t xml:space="preserve">Рентабельность по ставке 10 % от себестоимости работ, выполняемых своими силами</t>
  </si>
  <si>
    <t xml:space="preserve">ИТОГО стоимость работ без НДС, руб.</t>
  </si>
  <si>
    <t xml:space="preserve">НДС по ставке 22%</t>
  </si>
  <si>
    <t xml:space="preserve">ИТОГО стоимость работ в т. ч. НДС 22% ,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</si>
</sst>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_-* #,##0.00&quot;р.&quot;_-;\-* #,##0.00&quot;р.&quot;_-;_-* &quot;-&quot;??&quot;р.&quot;_-;_-@_-"/>
    <numFmt numFmtId="165" formatCode="_-* #,##0&quot;р.&quot;_-;\-* #,##0&quot;р.&quot;_-;_-* &quot;-&quot;&quot;р.&quot;_-;_-@_-"/>
    <numFmt numFmtId="166" formatCode="_-* #,##0.00_р_._-;\-* #,##0.00_р_._-;_-* &quot;-&quot;??_р_._-;_-@_-"/>
    <numFmt numFmtId="167" formatCode="_-* #,##0_р_._-;\-* #,##0_р_._-;_-* &quot;-&quot;_р_._-;_-@_-"/>
    <numFmt numFmtId="168" formatCode="dd\.mm\.yyyy"/>
    <numFmt numFmtId="169" formatCode="d\.m\.yyyy"/>
    <numFmt numFmtId="170" formatCode="dd/mm/yyyy"/>
    <numFmt numFmtId="171" formatCode="[$-409]m/d/yyyy"/>
    <numFmt numFmtId="172" formatCode="#,##0.00\ _₽"/>
  </numFmts>
  <fonts count="36">
    <font>
      <sz val="12.000000"/>
      <color theme="1" tint="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u/>
      <sz val="12.000000"/>
      <color theme="10" tint="0"/>
      <name val="Arial"/>
    </font>
    <font>
      <sz val="12.000000"/>
      <color indexed="64"/>
      <name val="Arial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u/>
      <sz val="12.000000"/>
      <color theme="11" tint="0"/>
      <name val="Arial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b/>
      <sz val="11.000000"/>
      <name val="Arial"/>
    </font>
    <font>
      <sz val="12.000000"/>
      <name val="Calibri"/>
    </font>
    <font>
      <b/>
      <sz val="11.000000"/>
      <color theme="1" tint="0"/>
      <name val="Arial"/>
    </font>
    <font>
      <sz val="12.000000"/>
      <color theme="1" tint="0"/>
      <name val="Calibri"/>
    </font>
    <font>
      <sz val="12.000000"/>
      <color indexed="64"/>
      <name val="Times New Roman"/>
    </font>
    <font>
      <sz val="10.000000"/>
      <color theme="1" tint="0"/>
      <name val="Arial"/>
    </font>
    <font>
      <b/>
      <sz val="12.000000"/>
      <name val="Times New Roman"/>
    </font>
    <font>
      <sz val="12.000000"/>
      <name val="Times New Roman"/>
    </font>
    <font>
      <b/>
      <sz val="12.000000"/>
      <color theme="1" tint="0"/>
      <name val="Times New Roman"/>
    </font>
    <font>
      <sz val="12.000000"/>
      <color theme="1" tint="0"/>
      <name val="Times New Roman"/>
    </font>
    <font>
      <b/>
      <sz val="12.000000"/>
      <color theme="1" tint="0"/>
      <name val="Arial"/>
    </font>
    <font>
      <b/>
      <sz val="12.000000"/>
      <color indexed="64"/>
      <name val="Times New Roman"/>
    </font>
    <font>
      <i/>
      <sz val="12.000000"/>
      <name val="Times New Roman"/>
    </font>
    <font>
      <i/>
      <sz val="12.000000"/>
      <color theme="1" tint="0"/>
      <name val="Times New Roman"/>
    </font>
    <font>
      <sz val="11.000000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65"/>
      </patternFill>
    </fill>
    <fill>
      <patternFill patternType="solid">
        <fgColor indexed="45"/>
        <bgColor indexed="65"/>
      </patternFill>
    </fill>
    <fill>
      <patternFill patternType="solid">
        <fgColor indexed="42"/>
        <bgColor indexed="65"/>
      </patternFill>
    </fill>
    <fill>
      <patternFill patternType="solid">
        <fgColor indexed="46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indexed="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indexed="20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indexed="52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6" tint="0.79998199999999997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</patternFill>
    </fill>
  </fills>
  <borders count="6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/>
      <right/>
      <top style="thin">
        <color theme="1"/>
      </top>
      <bottom/>
      <diagonal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/>
      <top style="none"/>
      <bottom style="thin">
        <color theme="1"/>
      </bottom>
      <diagonal style="none"/>
    </border>
    <border>
      <left/>
      <right/>
      <top style="none"/>
      <bottom style="thin">
        <color theme="1"/>
      </bottom>
      <diagonal style="none"/>
    </border>
    <border>
      <left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 style="none"/>
    </border>
    <border>
      <left/>
      <right/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/>
      <diagonal style="none"/>
    </border>
    <border>
      <left style="medium">
        <color theme="1"/>
      </left>
      <right/>
      <top style="medium">
        <color theme="1"/>
      </top>
      <bottom style="medium">
        <color theme="1"/>
      </bottom>
      <diagonal style="none"/>
    </border>
    <border>
      <left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 style="none"/>
    </border>
    <border>
      <left style="thin">
        <color theme="1"/>
      </left>
      <right style="thin">
        <color theme="1"/>
      </right>
      <top/>
      <bottom style="thin">
        <color theme="1"/>
      </bottom>
      <diagonal style="none"/>
    </border>
    <border>
      <left style="medium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none"/>
      <right style="none"/>
      <top style="thin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/>
      <right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/>
      <top style="medium">
        <color theme="1"/>
      </top>
      <bottom style="thin">
        <color theme="1"/>
      </bottom>
      <diagonal style="none"/>
    </border>
    <border>
      <left/>
      <right/>
      <top style="medium">
        <color theme="1"/>
      </top>
      <bottom style="thin">
        <color theme="1"/>
      </bottom>
      <diagonal style="none"/>
    </border>
    <border>
      <left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/>
      <top style="thin">
        <color theme="1"/>
      </top>
      <bottom style="thin">
        <color theme="1"/>
      </bottom>
      <diagonal style="none"/>
    </border>
    <border>
      <left style="medium">
        <color theme="1"/>
      </left>
      <right/>
      <top style="thin">
        <color theme="1"/>
      </top>
      <bottom style="none"/>
      <diagonal style="none"/>
    </border>
    <border>
      <left/>
      <right/>
      <top style="thin">
        <color theme="1"/>
      </top>
      <bottom style="none"/>
      <diagonal style="none"/>
    </border>
    <border>
      <left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medium">
        <color theme="1"/>
      </left>
      <right/>
      <top style="thin">
        <color theme="1"/>
      </top>
      <bottom style="medium">
        <color theme="1"/>
      </bottom>
      <diagonal style="none"/>
    </border>
    <border>
      <left/>
      <right/>
      <top style="thin">
        <color theme="1"/>
      </top>
      <bottom style="medium">
        <color theme="1"/>
      </bottom>
      <diagonal style="none"/>
    </border>
    <border>
      <left/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0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3" fillId="25" borderId="1" numFmtId="0" applyNumberFormat="1" applyFont="1" applyFill="1" applyBorder="1"/>
    <xf fontId="4" fillId="26" borderId="2" numFmtId="0" applyNumberFormat="1" applyFont="1" applyFill="1" applyBorder="1"/>
    <xf fontId="5" fillId="26" borderId="1" numFmtId="0" applyNumberFormat="1" applyFont="1" applyFill="1" applyBorder="1"/>
    <xf fontId="6" fillId="0" borderId="0" numFmtId="0" applyNumberFormat="1" applyFont="1" applyFill="1" applyBorder="1"/>
    <xf fontId="7" fillId="0" borderId="0" numFmtId="164" applyNumberFormat="1" applyFont="1" applyFill="1" applyBorder="1"/>
    <xf fontId="7" fillId="0" borderId="0" numFmtId="165" applyNumberFormat="1" applyFont="1" applyFill="1" applyBorder="1"/>
    <xf fontId="8" fillId="0" borderId="3" numFmtId="0" applyNumberFormat="1" applyFont="1" applyFill="1" applyBorder="1"/>
    <xf fontId="9" fillId="0" borderId="4" numFmtId="0" applyNumberFormat="1" applyFont="1" applyFill="1" applyBorder="1"/>
    <xf fontId="10" fillId="0" borderId="5" numFmtId="0" applyNumberFormat="1" applyFont="1" applyFill="1" applyBorder="1"/>
    <xf fontId="10" fillId="0" borderId="0" numFmtId="0" applyNumberFormat="1" applyFont="1" applyFill="1" applyBorder="1"/>
    <xf fontId="11" fillId="0" borderId="6" numFmtId="0" applyNumberFormat="1" applyFont="1" applyFill="1" applyBorder="1"/>
    <xf fontId="12" fillId="27" borderId="7" numFmtId="0" applyNumberFormat="1" applyFont="1" applyFill="1" applyBorder="1"/>
    <xf fontId="13" fillId="0" borderId="0" numFmtId="0" applyNumberFormat="1" applyFont="1" applyFill="1" applyBorder="1"/>
    <xf fontId="14" fillId="28" borderId="0" numFmtId="0" applyNumberFormat="1" applyFont="1" applyFill="1" applyBorder="1"/>
    <xf fontId="15" fillId="0" borderId="0" numFmtId="0" applyNumberFormat="1" applyFont="1" applyFill="1" applyBorder="1"/>
    <xf fontId="16" fillId="29" borderId="0" numFmtId="0" applyNumberFormat="1" applyFont="1" applyFill="1" applyBorder="1"/>
    <xf fontId="17" fillId="0" borderId="0" numFmtId="0" applyNumberFormat="1" applyFont="1" applyFill="1" applyBorder="1"/>
    <xf fontId="7" fillId="30" borderId="8" numFmtId="0" applyNumberFormat="1" applyFont="1" applyFill="1" applyBorder="1"/>
    <xf fontId="7" fillId="0" borderId="0" numFmtId="9" applyNumberFormat="1" applyFont="1" applyFill="1" applyBorder="1"/>
    <xf fontId="18" fillId="0" borderId="9" numFmtId="0" applyNumberFormat="1" applyFont="1" applyFill="1" applyBorder="1"/>
    <xf fontId="19" fillId="0" borderId="0" numFmtId="0" applyNumberFormat="1" applyFont="1" applyFill="1" applyBorder="1"/>
    <xf fontId="7" fillId="0" borderId="0" numFmtId="166" applyNumberFormat="1" applyFont="1" applyFill="1" applyBorder="1"/>
    <xf fontId="7" fillId="0" borderId="0" numFmtId="167" applyNumberFormat="1" applyFont="1" applyFill="1" applyBorder="1"/>
    <xf fontId="20" fillId="31" borderId="0" numFmtId="0" applyNumberFormat="1" applyFont="1" applyFill="1" applyBorder="1"/>
  </cellStyleXfs>
  <cellXfs count="135">
    <xf fontId="0" fillId="0" borderId="0" numFmtId="0" xfId="0"/>
    <xf fontId="21" fillId="0" borderId="10" numFmtId="0" xfId="0" applyFont="1" applyBorder="1" applyAlignment="1">
      <alignment horizontal="center" vertical="center"/>
    </xf>
    <xf fontId="22" fillId="0" borderId="10" numFmtId="0" xfId="0" applyFont="1" applyBorder="1" applyAlignment="1">
      <alignment horizontal="left" vertical="center" wrapText="1"/>
    </xf>
    <xf fontId="0" fillId="0" borderId="0" numFmtId="0" xfId="0"/>
    <xf fontId="23" fillId="32" borderId="11" numFmtId="0" xfId="0" applyFont="1" applyFill="1" applyBorder="1" applyAlignment="1">
      <alignment horizontal="center" vertical="center"/>
    </xf>
    <xf fontId="24" fillId="0" borderId="12" numFmtId="0" xfId="0" applyFont="1" applyBorder="1" applyAlignment="1">
      <alignment horizontal="center" vertical="center" wrapText="1"/>
    </xf>
    <xf fontId="23" fillId="32" borderId="13" numFmtId="0" xfId="0" applyFont="1" applyFill="1" applyBorder="1" applyAlignment="1">
      <alignment horizontal="center" vertical="center"/>
    </xf>
    <xf fontId="24" fillId="0" borderId="13" numFmtId="0" xfId="0" applyFont="1" applyBorder="1" applyAlignment="1">
      <alignment horizontal="left" vertical="center" wrapText="1"/>
    </xf>
    <xf fontId="0" fillId="32" borderId="14" numFmtId="0" xfId="0" applyFill="1" applyBorder="1" applyAlignment="1">
      <alignment wrapText="1"/>
    </xf>
    <xf fontId="0" fillId="32" borderId="13" numFmtId="0" xfId="0" applyFill="1" applyBorder="1" applyAlignment="1">
      <alignment wrapText="1"/>
    </xf>
    <xf fontId="21" fillId="0" borderId="15" numFmtId="0" xfId="0" applyFont="1" applyBorder="1" applyAlignment="1">
      <alignment horizontal="center" vertical="center"/>
    </xf>
    <xf fontId="25" fillId="0" borderId="0" numFmtId="0" xfId="0" applyFont="1" applyAlignment="1">
      <alignment horizontal="left" vertical="center" wrapText="1"/>
    </xf>
    <xf fontId="25" fillId="0" borderId="16" numFmtId="0" xfId="0" applyFont="1" applyBorder="1" applyAlignment="1">
      <alignment horizontal="left" vertical="center" wrapText="1"/>
    </xf>
    <xf fontId="25" fillId="0" borderId="17" numFmtId="0" xfId="0" applyFont="1" applyBorder="1" applyAlignment="1">
      <alignment horizontal="left" vertical="center" wrapText="1"/>
    </xf>
    <xf fontId="25" fillId="0" borderId="18" numFmtId="0" xfId="0" applyFont="1" applyBorder="1" applyAlignment="1">
      <alignment horizontal="left" vertical="center" wrapText="1"/>
    </xf>
    <xf fontId="0" fillId="33" borderId="0" numFmtId="0" xfId="0" applyFill="1" applyAlignment="1">
      <alignment wrapText="1"/>
    </xf>
    <xf fontId="21" fillId="0" borderId="0" numFmtId="0" xfId="0" applyFont="1" applyAlignment="1">
      <alignment horizontal="center" vertical="center"/>
    </xf>
    <xf fontId="25" fillId="0" borderId="19" numFmtId="0" xfId="0" applyFont="1" applyBorder="1" applyAlignment="1">
      <alignment horizontal="left" vertical="center" wrapText="1"/>
    </xf>
    <xf fontId="25" fillId="0" borderId="20" numFmtId="0" xfId="0" applyFont="1" applyBorder="1" applyAlignment="1">
      <alignment horizontal="left" vertical="center" wrapText="1"/>
    </xf>
    <xf fontId="25" fillId="0" borderId="21" numFmtId="0" xfId="0" applyFont="1" applyBorder="1" applyAlignment="1">
      <alignment horizontal="left" vertical="center" wrapText="1"/>
    </xf>
    <xf fontId="25" fillId="0" borderId="22" numFmtId="0" xfId="0" applyFont="1" applyBorder="1" applyAlignment="1">
      <alignment horizontal="left" vertical="center" wrapText="1"/>
    </xf>
    <xf fontId="25" fillId="0" borderId="23" numFmtId="0" xfId="0" applyFont="1" applyBorder="1" applyAlignment="1">
      <alignment horizontal="left" vertical="center" wrapText="1"/>
    </xf>
    <xf fontId="22" fillId="0" borderId="10" numFmtId="168" xfId="0" applyNumberFormat="1" applyFont="1" applyBorder="1" applyAlignment="1">
      <alignment horizontal="left" vertical="center" wrapText="1"/>
    </xf>
    <xf fontId="22" fillId="0" borderId="10" numFmtId="169" xfId="0" applyNumberFormat="1" applyFont="1" applyBorder="1" applyAlignment="1">
      <alignment horizontal="left" wrapText="1"/>
    </xf>
    <xf fontId="22" fillId="0" borderId="10" numFmtId="4" xfId="0" applyNumberFormat="1" applyFont="1" applyBorder="1" applyAlignment="1">
      <alignment horizontal="left" vertical="center" wrapText="1"/>
    </xf>
    <xf fontId="26" fillId="0" borderId="0" numFmtId="0" xfId="0" applyFont="1" applyAlignment="1">
      <alignment vertical="center"/>
    </xf>
    <xf fontId="0" fillId="0" borderId="0" numFmtId="0" xfId="0" applyAlignment="1">
      <alignment horizontal="left"/>
    </xf>
    <xf fontId="0" fillId="0" borderId="24" numFmtId="0" xfId="0" applyBorder="1"/>
    <xf fontId="25" fillId="0" borderId="0" numFmtId="170" xfId="0" applyNumberFormat="1" applyFont="1" applyAlignment="1">
      <alignment horizontal="left" vertical="center" wrapText="1"/>
    </xf>
    <xf fontId="27" fillId="0" borderId="10" numFmtId="0" xfId="0" applyFont="1" applyBorder="1" applyAlignment="1">
      <alignment horizontal="center" wrapText="1"/>
    </xf>
    <xf fontId="28" fillId="0" borderId="12" numFmtId="0" xfId="0" applyFont="1" applyBorder="1" applyAlignment="1">
      <alignment horizontal="left" vertical="center" wrapText="1"/>
    </xf>
    <xf fontId="28" fillId="0" borderId="24" numFmtId="0" xfId="0" applyFont="1" applyBorder="1" applyAlignment="1">
      <alignment horizontal="left" vertical="center" wrapText="1"/>
    </xf>
    <xf fontId="28" fillId="0" borderId="25" numFmtId="0" xfId="0" applyFont="1" applyBorder="1" applyAlignment="1">
      <alignment horizontal="left" vertical="center" wrapText="1"/>
    </xf>
    <xf fontId="28" fillId="0" borderId="10" numFmtId="0" xfId="0" applyFont="1" applyBorder="1" applyAlignment="1">
      <alignment wrapText="1"/>
    </xf>
    <xf fontId="0" fillId="0" borderId="0" numFmtId="0" xfId="0" applyAlignment="1">
      <alignment wrapText="1"/>
    </xf>
    <xf fontId="29" fillId="0" borderId="13" numFmtId="0" xfId="0" applyFont="1" applyBorder="1" applyAlignment="1">
      <alignment wrapText="1"/>
    </xf>
    <xf fontId="27" fillId="0" borderId="10" numFmtId="0" xfId="0" applyFont="1" applyBorder="1" applyAlignment="1">
      <alignment wrapText="1"/>
    </xf>
    <xf fontId="28" fillId="0" borderId="12" numFmtId="2" xfId="0" applyNumberFormat="1" applyFont="1" applyBorder="1" applyAlignment="1">
      <alignment horizontal="left" vertical="center" wrapText="1"/>
    </xf>
    <xf fontId="28" fillId="0" borderId="24" numFmtId="2" xfId="0" applyNumberFormat="1" applyFont="1" applyBorder="1" applyAlignment="1">
      <alignment horizontal="left" vertical="center" wrapText="1"/>
    </xf>
    <xf fontId="28" fillId="0" borderId="25" numFmtId="2" xfId="0" applyNumberFormat="1" applyFont="1" applyBorder="1" applyAlignment="1">
      <alignment horizontal="left" vertical="center" wrapText="1"/>
    </xf>
    <xf fontId="30" fillId="0" borderId="0" numFmtId="0" xfId="0" applyFont="1" applyAlignment="1">
      <alignment wrapText="1"/>
    </xf>
    <xf fontId="28" fillId="0" borderId="26" numFmtId="0" xfId="0" applyFont="1" applyBorder="1" applyAlignment="1">
      <alignment wrapText="1"/>
    </xf>
    <xf fontId="28" fillId="0" borderId="27" numFmtId="0" xfId="0" applyFont="1" applyBorder="1" applyAlignment="1">
      <alignment wrapText="1"/>
    </xf>
    <xf fontId="28" fillId="0" borderId="28" numFmtId="0" xfId="0" applyFont="1" applyBorder="1" applyAlignment="1">
      <alignment wrapText="1"/>
    </xf>
    <xf fontId="27" fillId="0" borderId="29" numFmtId="0" xfId="0" applyFont="1" applyBorder="1" applyAlignment="1">
      <alignment wrapText="1"/>
    </xf>
    <xf fontId="28" fillId="0" borderId="30" numFmtId="0" xfId="0" applyFont="1" applyBorder="1" applyAlignment="1">
      <alignment horizontal="left" vertical="center" wrapText="1"/>
    </xf>
    <xf fontId="27" fillId="0" borderId="31" numFmtId="0" xfId="0" applyFont="1" applyBorder="1" applyAlignment="1">
      <alignment wrapText="1"/>
    </xf>
    <xf fontId="27" fillId="0" borderId="32" numFmtId="0" xfId="0" applyFont="1" applyBorder="1" applyAlignment="1">
      <alignment wrapText="1"/>
    </xf>
    <xf fontId="27" fillId="0" borderId="33" numFmtId="0" xfId="0" applyFont="1" applyBorder="1" applyAlignment="1">
      <alignment wrapText="1"/>
    </xf>
    <xf fontId="29" fillId="0" borderId="34" numFmtId="0" xfId="0" applyFont="1" applyBorder="1" applyAlignment="1">
      <alignment wrapText="1"/>
    </xf>
    <xf fontId="31" fillId="0" borderId="35" numFmtId="0" xfId="0" applyFont="1" applyBorder="1" applyAlignment="1">
      <alignment wrapText="1"/>
    </xf>
    <xf fontId="31" fillId="0" borderId="36" numFmtId="0" xfId="0" applyFont="1" applyBorder="1" applyAlignment="1">
      <alignment wrapText="1"/>
    </xf>
    <xf fontId="30" fillId="0" borderId="12" numFmtId="0" xfId="0" applyFont="1" applyBorder="1" applyAlignment="1">
      <alignment wrapText="1"/>
    </xf>
    <xf fontId="30" fillId="0" borderId="0" numFmtId="0" xfId="0" applyFont="1"/>
    <xf fontId="28" fillId="0" borderId="0" numFmtId="0" xfId="0" applyFont="1"/>
    <xf fontId="28" fillId="0" borderId="0" numFmtId="0" xfId="0" applyFont="1" applyAlignment="1">
      <alignment horizontal="right"/>
    </xf>
    <xf fontId="27" fillId="0" borderId="0" numFmtId="0" xfId="0" applyFont="1" applyAlignment="1">
      <alignment horizontal="center"/>
    </xf>
    <xf fontId="32" fillId="0" borderId="0" numFmtId="0" xfId="0" applyFont="1"/>
    <xf fontId="27" fillId="0" borderId="26" numFmtId="0" xfId="0" applyFont="1" applyBorder="1" applyAlignment="1">
      <alignment horizontal="center" wrapText="1"/>
    </xf>
    <xf fontId="27" fillId="0" borderId="27" numFmtId="0" xfId="0" applyFont="1" applyBorder="1" applyAlignment="1">
      <alignment horizontal="center" wrapText="1"/>
    </xf>
    <xf fontId="27" fillId="0" borderId="28" numFmtId="0" xfId="0" applyFont="1" applyBorder="1" applyAlignment="1">
      <alignment horizontal="center" wrapText="1"/>
    </xf>
    <xf fontId="33" fillId="0" borderId="0" numFmtId="0" xfId="0" applyFont="1" applyAlignment="1">
      <alignment horizontal="center"/>
    </xf>
    <xf fontId="28" fillId="0" borderId="37" numFmtId="0" xfId="0" applyFont="1" applyBorder="1"/>
    <xf fontId="30" fillId="0" borderId="0" numFmtId="0" xfId="0" applyFont="1" applyAlignment="1">
      <alignment horizontal="center" vertical="center"/>
    </xf>
    <xf fontId="27" fillId="0" borderId="38" numFmtId="0" xfId="0" applyFont="1" applyBorder="1" applyAlignment="1">
      <alignment horizontal="center" vertical="center" wrapText="1"/>
    </xf>
    <xf fontId="27" fillId="0" borderId="39" numFmtId="0" xfId="0" applyFont="1" applyBorder="1" applyAlignment="1">
      <alignment horizontal="center" vertical="center" wrapText="1"/>
    </xf>
    <xf fontId="27" fillId="0" borderId="40" numFmtId="0" xfId="0" applyFont="1" applyBorder="1" applyAlignment="1">
      <alignment horizontal="center" vertical="center" wrapText="1"/>
    </xf>
    <xf fontId="34" fillId="0" borderId="0" numFmtId="0" xfId="0" applyFont="1" applyAlignment="1">
      <alignment horizontal="center" vertical="center" wrapText="1"/>
    </xf>
    <xf fontId="27" fillId="0" borderId="41" numFmtId="0" xfId="0" applyFont="1" applyBorder="1" applyAlignment="1">
      <alignment horizontal="center" vertical="center" wrapText="1"/>
    </xf>
    <xf fontId="27" fillId="0" borderId="42" numFmtId="0" xfId="0" applyFont="1" applyBorder="1" applyAlignment="1">
      <alignment horizontal="center" wrapText="1"/>
    </xf>
    <xf fontId="27" fillId="0" borderId="43" numFmtId="0" xfId="0" applyFont="1" applyBorder="1" applyAlignment="1">
      <alignment horizontal="center" wrapText="1"/>
    </xf>
    <xf fontId="27" fillId="0" borderId="44" numFmtId="0" xfId="0" applyFont="1" applyBorder="1" applyAlignment="1">
      <alignment horizontal="center" wrapText="1"/>
    </xf>
    <xf fontId="34" fillId="0" borderId="0" numFmtId="0" xfId="0" applyFont="1"/>
    <xf fontId="28" fillId="0" borderId="10" numFmtId="0" xfId="0" applyFont="1" applyBorder="1" applyAlignment="1">
      <alignment horizontal="left" vertical="center" wrapText="1"/>
    </xf>
    <xf fontId="28" fillId="0" borderId="45" numFmtId="0" xfId="0" applyFont="1" applyBorder="1" applyAlignment="1">
      <alignment horizontal="center" vertical="center" wrapText="1"/>
    </xf>
    <xf fontId="28" fillId="0" borderId="10" numFmtId="171" xfId="0" applyNumberFormat="1" applyFont="1" applyBorder="1" applyAlignment="1">
      <alignment horizontal="left" vertical="center" wrapText="1"/>
    </xf>
    <xf fontId="28" fillId="34" borderId="10" numFmtId="171" xfId="0" applyNumberFormat="1" applyFont="1" applyFill="1" applyBorder="1" applyAlignment="1">
      <alignment horizontal="left" vertical="center" wrapText="1"/>
    </xf>
    <xf fontId="28" fillId="0" borderId="10" numFmtId="4" xfId="0" applyNumberFormat="1" applyFont="1" applyBorder="1" applyAlignment="1">
      <alignment horizontal="left" vertical="center" wrapText="1"/>
    </xf>
    <xf fontId="28" fillId="0" borderId="10" numFmtId="0" xfId="0" applyFont="1" applyBorder="1" applyAlignment="1">
      <alignment horizontal="center" vertical="center" wrapText="1"/>
    </xf>
    <xf fontId="34" fillId="0" borderId="0" numFmtId="3" xfId="0" applyNumberFormat="1" applyFont="1"/>
    <xf fontId="28" fillId="0" borderId="10" numFmtId="3" xfId="0" applyNumberFormat="1" applyFont="1" applyBorder="1" applyAlignment="1">
      <alignment horizontal="left" vertical="center" wrapText="1"/>
    </xf>
    <xf fontId="28" fillId="0" borderId="46" numFmtId="0" xfId="0" applyFont="1" applyBorder="1" applyAlignment="1">
      <alignment horizontal="center" vertical="center" wrapText="1"/>
    </xf>
    <xf fontId="25" fillId="0" borderId="0" numFmtId="4" xfId="0" applyNumberFormat="1" applyFont="1" applyAlignment="1">
      <alignment horizontal="center" vertical="top" wrapText="1"/>
    </xf>
    <xf fontId="28" fillId="0" borderId="47" numFmtId="0" xfId="0" applyFont="1" applyBorder="1" applyAlignment="1">
      <alignment vertical="center" wrapText="1"/>
    </xf>
    <xf fontId="28" fillId="0" borderId="48" numFmtId="0" xfId="0" applyFont="1" applyBorder="1" applyAlignment="1">
      <alignment vertical="center" wrapText="1"/>
    </xf>
    <xf fontId="28" fillId="0" borderId="49" numFmtId="171" xfId="0" applyNumberFormat="1" applyFont="1" applyBorder="1" applyAlignment="1">
      <alignment horizontal="center" vertical="center" wrapText="1"/>
    </xf>
    <xf fontId="35" fillId="34" borderId="10" numFmtId="171" xfId="0" applyNumberFormat="1" applyFont="1" applyFill="1" applyBorder="1" applyAlignment="1">
      <alignment horizontal="center" vertical="center" wrapText="1"/>
    </xf>
    <xf fontId="28" fillId="0" borderId="10" numFmtId="3" xfId="0" applyNumberFormat="1" applyFont="1" applyBorder="1" applyAlignment="1">
      <alignment horizontal="center" vertical="center" wrapText="1"/>
    </xf>
    <xf fontId="28" fillId="0" borderId="50" numFmtId="4" xfId="0" applyNumberFormat="1" applyFont="1" applyBorder="1" applyAlignment="1">
      <alignment horizontal="center" vertical="top" wrapText="1"/>
    </xf>
    <xf fontId="28" fillId="0" borderId="51" numFmtId="171" xfId="0" applyNumberFormat="1" applyFont="1" applyBorder="1" applyAlignment="1">
      <alignment horizontal="center" vertical="center" wrapText="1"/>
    </xf>
    <xf fontId="28" fillId="0" borderId="43" numFmtId="171" xfId="0" applyNumberFormat="1" applyFont="1" applyBorder="1" applyAlignment="1">
      <alignment horizontal="center" vertical="center" wrapText="1"/>
    </xf>
    <xf fontId="28" fillId="0" borderId="52" numFmtId="0" xfId="0" applyFont="1" applyBorder="1" applyAlignment="1">
      <alignment horizontal="justify" vertical="top" wrapText="1"/>
    </xf>
    <xf fontId="28" fillId="0" borderId="53" numFmtId="0" xfId="0" applyFont="1" applyBorder="1" applyAlignment="1">
      <alignment horizontal="justify" vertical="top" wrapText="1"/>
    </xf>
    <xf fontId="28" fillId="0" borderId="53" numFmtId="0" xfId="0" applyFont="1" applyBorder="1" applyAlignment="1">
      <alignment horizontal="center"/>
    </xf>
    <xf fontId="28" fillId="0" borderId="53" numFmtId="0" xfId="0" applyFont="1" applyBorder="1" applyAlignment="1">
      <alignment horizontal="center" vertical="top" wrapText="1"/>
    </xf>
    <xf fontId="28" fillId="0" borderId="53" numFmtId="171" xfId="0" applyNumberFormat="1" applyFont="1" applyBorder="1" applyAlignment="1">
      <alignment horizontal="center" vertical="center" wrapText="1"/>
    </xf>
    <xf fontId="35" fillId="34" borderId="53" numFmtId="171" xfId="0" applyNumberFormat="1" applyFont="1" applyFill="1" applyBorder="1" applyAlignment="1">
      <alignment horizontal="center" vertical="center" wrapText="1"/>
    </xf>
    <xf fontId="28" fillId="0" borderId="53" numFmtId="0" xfId="0" applyFont="1" applyBorder="1" applyAlignment="1">
      <alignment vertical="top" wrapText="1"/>
    </xf>
    <xf fontId="28" fillId="0" borderId="54" numFmtId="4" xfId="0" applyNumberFormat="1" applyFont="1" applyBorder="1" applyAlignment="1">
      <alignment horizontal="center" vertical="top" wrapText="1"/>
    </xf>
    <xf fontId="27" fillId="0" borderId="39" numFmtId="0" xfId="0" applyFont="1" applyBorder="1" applyAlignment="1">
      <alignment horizontal="right" vertical="top" wrapText="1"/>
    </xf>
    <xf fontId="27" fillId="0" borderId="55" numFmtId="0" xfId="0" applyFont="1" applyBorder="1" applyAlignment="1">
      <alignment horizontal="right" vertical="top" wrapText="1"/>
    </xf>
    <xf fontId="27" fillId="0" borderId="40" numFmtId="0" xfId="0" applyFont="1" applyBorder="1" applyAlignment="1">
      <alignment horizontal="right" vertical="top" wrapText="1"/>
    </xf>
    <xf fontId="27" fillId="0" borderId="41" numFmtId="4" xfId="0" applyNumberFormat="1" applyFont="1" applyBorder="1" applyAlignment="1">
      <alignment horizontal="right" vertical="top" wrapText="1"/>
    </xf>
    <xf fontId="28" fillId="34" borderId="56" numFmtId="0" xfId="0" applyFont="1" applyFill="1" applyBorder="1" applyAlignment="1">
      <alignment wrapText="1"/>
    </xf>
    <xf fontId="28" fillId="34" borderId="57" numFmtId="0" xfId="0" applyFont="1" applyFill="1" applyBorder="1" applyAlignment="1">
      <alignment wrapText="1"/>
    </xf>
    <xf fontId="28" fillId="34" borderId="58" numFmtId="0" xfId="0" applyFont="1" applyFill="1" applyBorder="1" applyAlignment="1">
      <alignment wrapText="1"/>
    </xf>
    <xf fontId="28" fillId="34" borderId="44" numFmtId="4" xfId="0" applyNumberFormat="1" applyFont="1" applyFill="1" applyBorder="1" applyAlignment="1">
      <alignment wrapText="1"/>
    </xf>
    <xf fontId="28" fillId="34" borderId="59" numFmtId="0" xfId="0" applyFont="1" applyFill="1" applyBorder="1" applyAlignment="1">
      <alignment wrapText="1"/>
    </xf>
    <xf fontId="28" fillId="34" borderId="32" numFmtId="0" xfId="0" applyFont="1" applyFill="1" applyBorder="1" applyAlignment="1">
      <alignment wrapText="1"/>
    </xf>
    <xf fontId="28" fillId="34" borderId="33" numFmtId="0" xfId="0" applyFont="1" applyFill="1" applyBorder="1" applyAlignment="1">
      <alignment wrapText="1"/>
    </xf>
    <xf fontId="27" fillId="34" borderId="50" numFmtId="4" xfId="0" applyNumberFormat="1" applyFont="1" applyFill="1" applyBorder="1" applyAlignment="1">
      <alignment vertical="top" wrapText="1"/>
    </xf>
    <xf fontId="32" fillId="34" borderId="0" numFmtId="4" xfId="0" applyNumberFormat="1" applyFont="1" applyFill="1" applyAlignment="1">
      <alignment vertical="top" wrapText="1"/>
    </xf>
    <xf fontId="28" fillId="34" borderId="50" numFmtId="172" xfId="0" applyNumberFormat="1" applyFont="1" applyFill="1" applyBorder="1" applyAlignment="1">
      <alignment vertical="top" wrapText="1"/>
    </xf>
    <xf fontId="34" fillId="0" borderId="0" numFmtId="4" xfId="0" applyNumberFormat="1" applyFont="1"/>
    <xf fontId="25" fillId="34" borderId="0" numFmtId="4" xfId="0" applyNumberFormat="1" applyFont="1" applyFill="1" applyAlignment="1">
      <alignment vertical="top" wrapText="1"/>
    </xf>
    <xf fontId="28" fillId="34" borderId="59" numFmtId="0" xfId="0" applyFont="1" applyFill="1" applyBorder="1" applyAlignment="1">
      <alignment horizontal="left" wrapText="1"/>
    </xf>
    <xf fontId="28" fillId="34" borderId="32" numFmtId="0" xfId="0" applyFont="1" applyFill="1" applyBorder="1" applyAlignment="1">
      <alignment horizontal="left" wrapText="1"/>
    </xf>
    <xf fontId="28" fillId="34" borderId="33" numFmtId="0" xfId="0" applyFont="1" applyFill="1" applyBorder="1" applyAlignment="1">
      <alignment horizontal="left" wrapText="1"/>
    </xf>
    <xf fontId="28" fillId="34" borderId="50" numFmtId="4" xfId="0" applyNumberFormat="1" applyFont="1" applyFill="1" applyBorder="1" applyAlignment="1">
      <alignment vertical="top" wrapText="1"/>
    </xf>
    <xf fontId="27" fillId="34" borderId="59" numFmtId="0" xfId="0" applyFont="1" applyFill="1" applyBorder="1" applyAlignment="1">
      <alignment wrapText="1"/>
    </xf>
    <xf fontId="27" fillId="34" borderId="32" numFmtId="0" xfId="0" applyFont="1" applyFill="1" applyBorder="1" applyAlignment="1">
      <alignment wrapText="1"/>
    </xf>
    <xf fontId="27" fillId="34" borderId="33" numFmtId="0" xfId="0" applyFont="1" applyFill="1" applyBorder="1" applyAlignment="1">
      <alignment wrapText="1"/>
    </xf>
    <xf fontId="27" fillId="34" borderId="59" numFmtId="0" xfId="0" applyFont="1" applyFill="1" applyBorder="1" applyAlignment="1">
      <alignment horizontal="left" wrapText="1"/>
    </xf>
    <xf fontId="27" fillId="34" borderId="32" numFmtId="0" xfId="0" applyFont="1" applyFill="1" applyBorder="1" applyAlignment="1">
      <alignment horizontal="left" wrapText="1"/>
    </xf>
    <xf fontId="27" fillId="34" borderId="33" numFmtId="0" xfId="0" applyFont="1" applyFill="1" applyBorder="1" applyAlignment="1">
      <alignment horizontal="left" wrapText="1"/>
    </xf>
    <xf fontId="30" fillId="0" borderId="0" numFmtId="4" xfId="0" applyNumberFormat="1" applyFont="1"/>
    <xf fontId="27" fillId="34" borderId="60" numFmtId="0" xfId="0" applyFont="1" applyFill="1" applyBorder="1" applyAlignment="1">
      <alignment wrapText="1"/>
    </xf>
    <xf fontId="27" fillId="34" borderId="61" numFmtId="0" xfId="0" applyFont="1" applyFill="1" applyBorder="1" applyAlignment="1">
      <alignment wrapText="1"/>
    </xf>
    <xf fontId="27" fillId="34" borderId="62" numFmtId="0" xfId="0" applyFont="1" applyFill="1" applyBorder="1" applyAlignment="1">
      <alignment wrapText="1"/>
    </xf>
    <xf fontId="27" fillId="34" borderId="63" numFmtId="4" xfId="0" applyNumberFormat="1" applyFont="1" applyFill="1" applyBorder="1" applyAlignment="1">
      <alignment vertical="top" wrapText="1"/>
    </xf>
    <xf fontId="28" fillId="34" borderId="31" numFmtId="0" xfId="0" applyFont="1" applyFill="1" applyBorder="1" applyAlignment="1">
      <alignment wrapText="1"/>
    </xf>
    <xf fontId="27" fillId="34" borderId="64" numFmtId="0" xfId="0" applyFont="1" applyFill="1" applyBorder="1" applyAlignment="1">
      <alignment wrapText="1"/>
    </xf>
    <xf fontId="27" fillId="34" borderId="65" numFmtId="0" xfId="0" applyFont="1" applyFill="1" applyBorder="1" applyAlignment="1">
      <alignment wrapText="1"/>
    </xf>
    <xf fontId="27" fillId="34" borderId="66" numFmtId="0" xfId="0" applyFont="1" applyFill="1" applyBorder="1" applyAlignment="1">
      <alignment wrapText="1"/>
    </xf>
    <xf fontId="27" fillId="0" borderId="67" numFmtId="4" xfId="0" applyNumberFormat="1" applyFont="1" applyBorder="1" applyAlignment="1">
      <alignment vertical="top" wrapText="1"/>
    </xf>
  </cellXfs>
  <cellStyles count="49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Гиперссылка" xfId="28" builtinId="8"/>
    <cellStyle name="Денежный" xfId="29" builtinId="4"/>
    <cellStyle name="Денежный [0]" xfId="30" builtinId="7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Итог" xfId="35" builtinId="25"/>
    <cellStyle name="Контрольная ячейка" xfId="36" builtinId="23"/>
    <cellStyle name="Название" xfId="37" builtinId="15"/>
    <cellStyle name="Нейтральный" xfId="38" builtinId="28"/>
    <cellStyle name="Обычный" xfId="0" builtinId="0"/>
    <cellStyle name="Открывавшаяся гиперссылка" xfId="39" builtinId="9"/>
    <cellStyle name="Плохой" xfId="40" builtinId="27"/>
    <cellStyle name="Пояснение" xfId="41" builtinId="53"/>
    <cellStyle name="Примечание" xfId="42" builtinId="10"/>
    <cellStyle name="Процентный" xfId="43" builtinId="5"/>
    <cellStyle name="Связанная ячейка" xfId="44" builtinId="24"/>
    <cellStyle name="Текст предупреждения" xfId="45" builtinId="11"/>
    <cellStyle name="Финансовый" xfId="46" builtinId="3"/>
    <cellStyle name="Финансовый [0]" xfId="47" builtinId="6"/>
    <cellStyle name="Хороший" xfId="48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2</xdr:row>
      <xdr:rowOff>0</xdr:rowOff>
    </xdr:from>
    <xdr:ext cx="12563474" cy="7524749"/>
    <xdr:pic>
      <xdr:nvPicPr>
        <xdr:cNvPr id="121706767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380999"/>
          <a:ext cx="12563474" cy="752474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Наталья Заборовская" id="{5E96BB08-4472-5547-CD3B-073497AD84ED}"/>
  <person displayName="Unknown Author" id="{9934673E-BA7D-DC48-11C0-3D9E78BFC43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" personId="{9934673E-BA7D-DC48-11C0-3D9E78BFC437}" id="{3AAECF60-C511-EB79-8549-2CEA0DEA6E71}" done="0">
    <text xml:space="preserve">Наталья Заборовская:
пречислить верхнеуровневые риски - 3-5
</text>
  </threadedComment>
  <threadedComment ref="A6" personId="{5E96BB08-4472-5547-CD3B-073497AD84ED}" id="{008B0096-002F-4BB6-B692-00D2002F006B}" done="0">
    <text xml:space="preserve">Определяем достижение цели через количественные показатели - минимум 3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5E96BB08-4472-5547-CD3B-073497AD84ED}" id="{00970021-002F-40A7-896F-008300EB00FE}" done="0">
    <text xml:space="preserve">Перечислить состав команды, з/п в месяц и продолжительность задействования в проекте по каждому сотруднику
</text>
  </threadedComment>
  <threadedComment ref="A2" personId="{9934673E-BA7D-DC48-11C0-3D9E78BFC437}" id="{20CCCDD9-EC7C-F606-D4A3-A95821014B27}" done="0">
    <text xml:space="preserve">Наталья Заборовская:
Перечислить состав команды, з/п в месяц и продолжительность задействования в проекте по каждому сотруднику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personId="{9934673E-BA7D-DC48-11C0-3D9E78BFC437}" id="{59873D8E-AC83-C4A9-EE0E-167176948FCD}" done="0">
    <text xml:space="preserve">Наталья Заборовская:
(Количество × Стоимость) × коэффициент удорожания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7" personId="{9934673E-BA7D-DC48-11C0-3D9E78BFC437}" id="{079DEF54-F22F-7756-67A8-D357A9051819}" done="0">
    <text xml:space="preserve">Наталья Заборовская:
Итоговая стоимость по техническим ограничениям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6" zoomScale="70" workbookViewId="0">
      <selection activeCell="E9" activeCellId="0" sqref="E9"/>
    </sheetView>
  </sheetViews>
  <sheetFormatPr baseColWidth="8" defaultRowHeight="15.050000000000001" customHeight="1"/>
  <cols>
    <col customWidth="1" min="1" max="1" width="53.726599999999998"/>
    <col customWidth="1" min="2" max="2" width="75.906199999999998"/>
    <col customWidth="1" min="3" max="3" width="29.542999999999999"/>
    <col customWidth="1" min="4" max="4" width="29"/>
    <col customWidth="1" min="5" max="5" width="20.816400000000002"/>
  </cols>
  <sheetData>
    <row r="1" ht="16.5">
      <c r="A1" s="1" t="s">
        <v>0</v>
      </c>
      <c r="B1" s="2" t="s">
        <v>1</v>
      </c>
    </row>
    <row r="2" ht="16.5">
      <c r="A2" s="1" t="s">
        <v>2</v>
      </c>
      <c r="B2" s="2" t="s">
        <v>3</v>
      </c>
    </row>
    <row r="3" ht="16.5">
      <c r="A3" s="1" t="s">
        <v>4</v>
      </c>
      <c r="B3" s="2"/>
    </row>
    <row r="4" ht="132">
      <c r="A4" s="1" t="s">
        <v>5</v>
      </c>
      <c r="B4" s="2" t="s">
        <v>6</v>
      </c>
    </row>
    <row r="5" ht="49.5" customHeight="1">
      <c r="A5" s="1" t="s">
        <v>7</v>
      </c>
      <c r="B5" s="2" t="s">
        <v>8</v>
      </c>
      <c r="C5" s="3"/>
      <c r="D5" s="3"/>
    </row>
    <row r="6" ht="99">
      <c r="A6" s="4" t="s">
        <v>9</v>
      </c>
      <c r="B6" s="5" t="s">
        <v>10</v>
      </c>
      <c r="C6" s="3"/>
      <c r="D6" s="3"/>
    </row>
    <row r="7" ht="148.5">
      <c r="A7" s="6" t="s">
        <v>11</v>
      </c>
      <c r="B7" s="7" t="s">
        <v>12</v>
      </c>
      <c r="C7" s="8" t="s">
        <v>13</v>
      </c>
      <c r="D7" s="9" t="s">
        <v>14</v>
      </c>
      <c r="E7" s="9" t="s">
        <v>15</v>
      </c>
    </row>
    <row r="8" ht="75">
      <c r="A8" s="10" t="s">
        <v>16</v>
      </c>
      <c r="B8" s="11" t="s">
        <v>17</v>
      </c>
      <c r="C8" s="12" t="s">
        <v>18</v>
      </c>
      <c r="D8" s="13" t="s">
        <v>19</v>
      </c>
      <c r="E8" s="14" t="s">
        <v>20</v>
      </c>
      <c r="F8" s="15"/>
    </row>
    <row r="9" ht="50.75" customHeight="1">
      <c r="A9" s="16"/>
      <c r="B9" s="11" t="s">
        <v>21</v>
      </c>
      <c r="C9" s="17" t="s">
        <v>22</v>
      </c>
      <c r="D9" s="11" t="s">
        <v>23</v>
      </c>
      <c r="E9" s="18" t="s">
        <v>24</v>
      </c>
      <c r="F9" s="11"/>
    </row>
    <row r="10" ht="75">
      <c r="A10" s="16"/>
      <c r="B10" s="11" t="s">
        <v>25</v>
      </c>
      <c r="C10" s="17" t="s">
        <v>26</v>
      </c>
      <c r="D10" s="11" t="s">
        <v>27</v>
      </c>
      <c r="E10" s="18" t="s">
        <v>28</v>
      </c>
      <c r="F10" s="11"/>
    </row>
    <row r="11" ht="75">
      <c r="A11" s="16"/>
      <c r="B11" s="11" t="s">
        <v>29</v>
      </c>
      <c r="C11" s="17" t="s">
        <v>30</v>
      </c>
      <c r="D11" s="11" t="s">
        <v>31</v>
      </c>
      <c r="E11" s="18" t="s">
        <v>32</v>
      </c>
      <c r="F11" s="11"/>
    </row>
    <row r="12" ht="75">
      <c r="A12" s="16"/>
      <c r="B12" s="11" t="s">
        <v>33</v>
      </c>
      <c r="C12" s="17" t="s">
        <v>34</v>
      </c>
      <c r="D12" s="11" t="s">
        <v>35</v>
      </c>
      <c r="E12" s="18" t="s">
        <v>36</v>
      </c>
      <c r="F12" s="11"/>
    </row>
    <row r="13" ht="45">
      <c r="A13" s="16"/>
      <c r="B13" s="11" t="s">
        <v>37</v>
      </c>
      <c r="C13" s="17" t="s">
        <v>38</v>
      </c>
      <c r="D13" s="11" t="s">
        <v>39</v>
      </c>
      <c r="E13" s="18" t="s">
        <v>40</v>
      </c>
      <c r="F13" s="11"/>
    </row>
    <row r="14" ht="75">
      <c r="A14" s="16"/>
      <c r="B14" s="11" t="s">
        <v>41</v>
      </c>
      <c r="C14" s="17" t="s">
        <v>42</v>
      </c>
      <c r="D14" s="11" t="s">
        <v>43</v>
      </c>
      <c r="E14" s="18" t="s">
        <v>44</v>
      </c>
      <c r="F14" s="11"/>
    </row>
    <row r="15" ht="60">
      <c r="A15" s="16"/>
      <c r="B15" s="11" t="s">
        <v>45</v>
      </c>
      <c r="C15" s="19" t="s">
        <v>46</v>
      </c>
      <c r="D15" s="20" t="s">
        <v>47</v>
      </c>
      <c r="E15" s="21" t="s">
        <v>48</v>
      </c>
      <c r="F15" s="11"/>
    </row>
    <row r="16" ht="99">
      <c r="A16" s="1" t="s">
        <v>49</v>
      </c>
      <c r="B16" s="2" t="s">
        <v>50</v>
      </c>
      <c r="F16" s="11"/>
    </row>
    <row r="17" ht="16.5">
      <c r="A17" s="1" t="s">
        <v>51</v>
      </c>
      <c r="B17" s="22" t="s">
        <v>52</v>
      </c>
    </row>
    <row r="18" ht="16.5">
      <c r="A18" s="1" t="s">
        <v>53</v>
      </c>
      <c r="B18" s="23" t="s">
        <v>54</v>
      </c>
    </row>
    <row r="19" ht="99">
      <c r="A19" s="1" t="s">
        <v>55</v>
      </c>
      <c r="B19" s="2" t="s">
        <v>56</v>
      </c>
    </row>
    <row r="20" ht="16.5">
      <c r="A20" s="1" t="s">
        <v>57</v>
      </c>
      <c r="B20" s="24">
        <v>2451262.8399999999</v>
      </c>
    </row>
    <row r="21" ht="132">
      <c r="A21" s="1" t="s">
        <v>58</v>
      </c>
      <c r="B21" s="2" t="s">
        <v>59</v>
      </c>
    </row>
    <row r="22" ht="66">
      <c r="A22" s="1" t="s">
        <v>60</v>
      </c>
      <c r="B22" s="2" t="s">
        <v>61</v>
      </c>
    </row>
    <row r="23" ht="15.050000000000001" customHeight="1">
      <c r="A23" s="1" t="s">
        <v>62</v>
      </c>
      <c r="B23" s="2" t="s">
        <v>63</v>
      </c>
    </row>
  </sheetData>
  <mergeCells count="1">
    <mergeCell ref="A8:A1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G19"/>
    </sheetView>
  </sheetViews>
  <sheetFormatPr baseColWidth="8" defaultRowHeight="15.050000000000001" customHeight="1"/>
  <sheetData>
    <row r="1" ht="15.050000000000001">
      <c r="A1" s="25" t="s">
        <v>64</v>
      </c>
    </row>
    <row r="3" ht="15.050000000000001" customHeight="1">
      <c r="A3" s="2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9" activeCellId="0" sqref="A19"/>
    </sheetView>
  </sheetViews>
  <sheetFormatPr baseColWidth="8" defaultRowHeight="15.050000000000001" customHeight="1"/>
  <cols>
    <col customWidth="1" min="1" max="1" width="44.816400000000002"/>
    <col customWidth="1" min="2" max="2" width="20.99609375"/>
  </cols>
  <sheetData>
    <row r="1" ht="15.050000000000001">
      <c r="A1" s="27" t="s">
        <v>65</v>
      </c>
      <c r="B1" s="27" t="s">
        <v>66</v>
      </c>
    </row>
    <row r="2" ht="15.050000000000001">
      <c r="A2" s="11" t="s">
        <v>67</v>
      </c>
      <c r="B2" s="11" t="s">
        <v>68</v>
      </c>
    </row>
    <row r="3" ht="30">
      <c r="A3" s="11" t="s">
        <v>69</v>
      </c>
      <c r="B3" s="11" t="s">
        <v>70</v>
      </c>
    </row>
    <row r="4" ht="30">
      <c r="A4" s="11" t="s">
        <v>71</v>
      </c>
      <c r="B4" s="11" t="s">
        <v>72</v>
      </c>
    </row>
    <row r="5" ht="45">
      <c r="A5" s="11" t="s">
        <v>73</v>
      </c>
      <c r="B5" s="11" t="s">
        <v>74</v>
      </c>
    </row>
    <row r="6" ht="30">
      <c r="A6" s="11" t="s">
        <v>75</v>
      </c>
      <c r="B6" s="11" t="s">
        <v>76</v>
      </c>
    </row>
    <row r="7" ht="30">
      <c r="A7" s="11" t="s">
        <v>77</v>
      </c>
      <c r="B7" s="11" t="s">
        <v>78</v>
      </c>
    </row>
    <row r="8" ht="30">
      <c r="A8" s="11" t="s">
        <v>79</v>
      </c>
      <c r="B8" s="11" t="s">
        <v>80</v>
      </c>
    </row>
    <row r="9" ht="30">
      <c r="A9" s="11" t="s">
        <v>81</v>
      </c>
      <c r="B9" s="11" t="s">
        <v>82</v>
      </c>
    </row>
    <row r="10" ht="30">
      <c r="A10" s="11" t="s">
        <v>83</v>
      </c>
      <c r="B10" s="11" t="s">
        <v>84</v>
      </c>
    </row>
    <row r="11" ht="30">
      <c r="A11" s="11" t="s">
        <v>85</v>
      </c>
      <c r="B11" s="11" t="s">
        <v>86</v>
      </c>
    </row>
    <row r="12" ht="30">
      <c r="A12" s="11" t="s">
        <v>87</v>
      </c>
      <c r="B12" s="11" t="s">
        <v>88</v>
      </c>
    </row>
    <row r="13" ht="30">
      <c r="A13" s="11" t="s">
        <v>89</v>
      </c>
      <c r="B13" s="11" t="s">
        <v>90</v>
      </c>
    </row>
    <row r="14" ht="15.050000000000001">
      <c r="A14" s="27"/>
      <c r="B14" s="27"/>
    </row>
    <row r="15" ht="15.050000000000001">
      <c r="A15" s="27"/>
      <c r="B15" s="27"/>
    </row>
    <row r="16" ht="15.050000000000001">
      <c r="A16" s="27"/>
      <c r="B16" s="27"/>
    </row>
    <row r="17" ht="15.050000000000001">
      <c r="A17" s="27"/>
      <c r="B17" s="27"/>
    </row>
    <row r="18" ht="15.050000000000001">
      <c r="A18" s="27"/>
      <c r="B18" s="27"/>
    </row>
    <row r="19" ht="15.050000000000001">
      <c r="A19" s="27"/>
      <c r="B19" s="2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" zoomScale="100" workbookViewId="0">
      <selection activeCell="A1" activeCellId="0" sqref="A1:C7"/>
    </sheetView>
  </sheetViews>
  <sheetFormatPr baseColWidth="8" defaultRowHeight="15.050000000000001" customHeight="1"/>
  <cols>
    <col customWidth="1" min="1" max="1" width="4.0898399999999997"/>
    <col bestFit="1" customWidth="1" min="2" max="2" width="20.265625"/>
    <col bestFit="1" min="3" max="3" width="10.1640625"/>
  </cols>
  <sheetData>
    <row r="1" ht="15.050000000000001">
      <c r="A1" s="27" t="s">
        <v>91</v>
      </c>
      <c r="B1" s="27" t="s">
        <v>92</v>
      </c>
      <c r="C1" s="27" t="s">
        <v>93</v>
      </c>
    </row>
    <row r="2" ht="60">
      <c r="A2" s="11">
        <v>1</v>
      </c>
      <c r="B2" s="11" t="s">
        <v>94</v>
      </c>
      <c r="C2" s="11" t="s">
        <v>95</v>
      </c>
    </row>
    <row r="3" ht="75">
      <c r="A3" s="11">
        <v>2</v>
      </c>
      <c r="B3" s="11" t="s">
        <v>96</v>
      </c>
      <c r="C3" s="11" t="s">
        <v>97</v>
      </c>
    </row>
    <row r="4" ht="105">
      <c r="A4" s="11">
        <v>3</v>
      </c>
      <c r="B4" s="11" t="s">
        <v>98</v>
      </c>
      <c r="C4" s="11" t="s">
        <v>99</v>
      </c>
    </row>
    <row r="5" ht="75">
      <c r="A5" s="11">
        <v>4</v>
      </c>
      <c r="B5" s="11" t="s">
        <v>100</v>
      </c>
      <c r="C5" s="11" t="s">
        <v>101</v>
      </c>
    </row>
    <row r="6" ht="75">
      <c r="A6" s="11">
        <v>5</v>
      </c>
      <c r="B6" s="11" t="s">
        <v>102</v>
      </c>
      <c r="C6" s="11" t="s">
        <v>103</v>
      </c>
    </row>
    <row r="7" ht="75">
      <c r="A7" s="11">
        <v>6</v>
      </c>
      <c r="B7" s="11" t="s">
        <v>104</v>
      </c>
      <c r="C7" s="11" t="s">
        <v>105</v>
      </c>
    </row>
    <row r="8" ht="62.25" customHeight="1">
      <c r="A8" s="11">
        <v>7</v>
      </c>
      <c r="B8" s="11" t="s">
        <v>106</v>
      </c>
      <c r="C8" s="28">
        <v>46203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C7"/>
    </sheetView>
  </sheetViews>
  <sheetFormatPr baseColWidth="8" defaultRowHeight="15.050000000000001" customHeight="1"/>
  <cols>
    <col customWidth="1" min="1" max="1" width="4.3632799999999996"/>
    <col customWidth="1" min="2" max="2" width="32.363300000000002"/>
    <col customWidth="1" min="3" max="3" width="18.906199999999998"/>
  </cols>
  <sheetData>
    <row r="1" ht="15.050000000000001">
      <c r="A1" s="27" t="s">
        <v>91</v>
      </c>
      <c r="B1" s="27" t="s">
        <v>92</v>
      </c>
      <c r="C1" s="27" t="s">
        <v>66</v>
      </c>
    </row>
    <row r="2" ht="45">
      <c r="A2" s="11">
        <v>1</v>
      </c>
      <c r="B2" s="11" t="s">
        <v>107</v>
      </c>
      <c r="C2" s="11" t="s">
        <v>97</v>
      </c>
    </row>
    <row r="3" ht="45">
      <c r="A3" s="11">
        <v>2</v>
      </c>
      <c r="B3" s="11" t="s">
        <v>108</v>
      </c>
      <c r="C3" s="11" t="s">
        <v>99</v>
      </c>
    </row>
    <row r="4" ht="60">
      <c r="A4" s="11">
        <v>3</v>
      </c>
      <c r="B4" s="11" t="s">
        <v>109</v>
      </c>
      <c r="C4" s="11" t="s">
        <v>101</v>
      </c>
    </row>
    <row r="5" ht="45">
      <c r="A5" s="11">
        <v>4</v>
      </c>
      <c r="B5" s="11" t="s">
        <v>110</v>
      </c>
      <c r="C5" s="11" t="s">
        <v>103</v>
      </c>
    </row>
    <row r="6" ht="60">
      <c r="A6" s="11">
        <v>5</v>
      </c>
      <c r="B6" s="11" t="s">
        <v>111</v>
      </c>
      <c r="C6" s="11" t="s">
        <v>105</v>
      </c>
    </row>
    <row r="7" ht="45">
      <c r="A7" s="11">
        <v>6</v>
      </c>
      <c r="B7" s="11" t="s">
        <v>112</v>
      </c>
      <c r="C7" s="28">
        <v>46203</v>
      </c>
    </row>
    <row r="8" ht="78.75" customHeight="1">
      <c r="A8" s="11">
        <v>7</v>
      </c>
      <c r="B8" s="11" t="s">
        <v>113</v>
      </c>
      <c r="C8" s="28">
        <v>46203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2" activeCellId="0" sqref="D2"/>
    </sheetView>
  </sheetViews>
  <sheetFormatPr baseColWidth="8" defaultRowHeight="15.050000000000001" customHeight="1"/>
  <cols>
    <col customWidth="1" min="1" max="1" width="11.9062"/>
    <col customWidth="1" min="2" max="2" width="40.906199999999998"/>
    <col customWidth="1" min="3" max="3" width="29.0898"/>
  </cols>
  <sheetData>
    <row r="1" ht="15.65">
      <c r="A1" s="29" t="s">
        <v>114</v>
      </c>
      <c r="B1" s="29" t="s">
        <v>115</v>
      </c>
      <c r="C1" s="29" t="s">
        <v>116</v>
      </c>
    </row>
    <row r="2" ht="47">
      <c r="A2" s="30">
        <v>1</v>
      </c>
      <c r="B2" s="30" t="s">
        <v>117</v>
      </c>
      <c r="C2" s="30" t="s">
        <v>118</v>
      </c>
    </row>
    <row r="3" ht="15.65">
      <c r="A3" s="31">
        <v>2</v>
      </c>
      <c r="B3" s="31" t="s">
        <v>119</v>
      </c>
      <c r="C3" s="31" t="s">
        <v>120</v>
      </c>
    </row>
    <row r="4" ht="15.65">
      <c r="A4" s="31">
        <v>3</v>
      </c>
      <c r="B4" s="31" t="s">
        <v>121</v>
      </c>
      <c r="C4" s="31" t="s">
        <v>122</v>
      </c>
    </row>
    <row r="5" ht="15.65">
      <c r="A5" s="31">
        <v>4</v>
      </c>
      <c r="B5" s="31" t="s">
        <v>123</v>
      </c>
      <c r="C5" s="31" t="s">
        <v>124</v>
      </c>
    </row>
    <row r="6" ht="15.65">
      <c r="A6" s="32">
        <v>5</v>
      </c>
      <c r="B6" s="32" t="s">
        <v>125</v>
      </c>
      <c r="C6" s="32" t="s">
        <v>126</v>
      </c>
    </row>
    <row r="7" ht="15.65">
      <c r="A7" s="33"/>
      <c r="B7" s="33"/>
      <c r="C7" s="33"/>
    </row>
    <row r="8" ht="15.65">
      <c r="A8" s="33"/>
      <c r="B8" s="33"/>
      <c r="C8" s="33"/>
    </row>
    <row r="9" ht="15.65">
      <c r="A9" s="33"/>
      <c r="B9" s="33"/>
      <c r="C9" s="33"/>
    </row>
    <row r="10" ht="15.65">
      <c r="A10" s="33"/>
      <c r="B10" s="33"/>
      <c r="C10" s="33"/>
    </row>
    <row r="11" ht="15.050000000000001">
      <c r="A11" s="3"/>
      <c r="B11" s="3"/>
      <c r="C11" s="3"/>
    </row>
    <row r="12" ht="15.050000000000001">
      <c r="A12" s="3"/>
      <c r="B12" s="3"/>
      <c r="C12" s="3"/>
    </row>
    <row r="13" ht="15.050000000000001">
      <c r="A13" s="3"/>
      <c r="B13" s="3"/>
      <c r="C13" s="3"/>
    </row>
    <row r="14" ht="15.050000000000001">
      <c r="A14" s="3"/>
      <c r="B14" s="3"/>
      <c r="C14" s="3"/>
    </row>
    <row r="15" ht="15.050000000000001">
      <c r="A15" s="3"/>
      <c r="B15" s="3"/>
      <c r="C15" s="3"/>
    </row>
    <row r="16" ht="15.050000000000001">
      <c r="A16" s="3"/>
      <c r="B16" s="3"/>
      <c r="C16" s="3"/>
    </row>
    <row r="17" ht="15.050000000000001">
      <c r="A17" s="3"/>
      <c r="B17" s="3"/>
      <c r="C17" s="3"/>
    </row>
    <row r="18" ht="15.050000000000001">
      <c r="A18" s="3"/>
      <c r="B18" s="3"/>
      <c r="C18" s="3"/>
    </row>
    <row r="19" ht="15.050000000000001">
      <c r="A19" s="3"/>
      <c r="B19" s="3"/>
      <c r="C19" s="3"/>
    </row>
    <row r="20" ht="15.050000000000001">
      <c r="A20" s="3"/>
      <c r="B20" s="3"/>
      <c r="C20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" zoomScale="100" workbookViewId="0">
      <selection activeCell="B28" activeCellId="0" sqref="B27:B28"/>
    </sheetView>
  </sheetViews>
  <sheetFormatPr baseColWidth="8" defaultRowHeight="15.050000000000001" customHeight="1"/>
  <cols>
    <col customWidth="1" min="1" max="1" style="34" width="3.8164099999999999"/>
    <col customWidth="1" min="2" max="2" style="34" width="19.726600000000001"/>
    <col customWidth="1" min="3" max="3" style="34" width="12.363300000000001"/>
    <col customWidth="1" min="4" max="4" style="34" width="18"/>
    <col customWidth="1" min="5" max="5" style="34" width="17"/>
    <col customWidth="1" min="6" max="6" style="34" width="8.7265599999999992"/>
  </cols>
  <sheetData>
    <row r="1" ht="30">
      <c r="A1" s="35" t="s">
        <v>91</v>
      </c>
      <c r="B1" s="35" t="s">
        <v>127</v>
      </c>
      <c r="C1" s="35" t="s">
        <v>128</v>
      </c>
      <c r="D1" s="35" t="s">
        <v>129</v>
      </c>
      <c r="E1" s="35" t="s">
        <v>130</v>
      </c>
    </row>
    <row r="2" ht="45">
      <c r="A2" s="36" t="s">
        <v>91</v>
      </c>
      <c r="B2" s="36" t="s">
        <v>127</v>
      </c>
      <c r="C2" s="36" t="s">
        <v>128</v>
      </c>
      <c r="D2" s="36" t="s">
        <v>129</v>
      </c>
      <c r="E2" s="36" t="s">
        <v>130</v>
      </c>
    </row>
    <row r="3" ht="15.65">
      <c r="A3" s="30">
        <v>1</v>
      </c>
      <c r="B3" s="30" t="s">
        <v>131</v>
      </c>
      <c r="C3" s="30">
        <v>1</v>
      </c>
      <c r="D3" s="30">
        <v>100</v>
      </c>
      <c r="E3" s="37">
        <v>2.5</v>
      </c>
    </row>
    <row r="4" ht="15.65">
      <c r="A4" s="31">
        <v>2</v>
      </c>
      <c r="B4" s="31" t="s">
        <v>132</v>
      </c>
      <c r="C4" s="31">
        <v>1</v>
      </c>
      <c r="D4" s="31">
        <v>90</v>
      </c>
      <c r="E4" s="38">
        <v>1</v>
      </c>
    </row>
    <row r="5" ht="15.65">
      <c r="A5" s="31">
        <v>3</v>
      </c>
      <c r="B5" s="31" t="s">
        <v>133</v>
      </c>
      <c r="C5" s="31">
        <v>1</v>
      </c>
      <c r="D5" s="31">
        <v>140</v>
      </c>
      <c r="E5" s="38">
        <v>1.5</v>
      </c>
    </row>
    <row r="6" ht="15.65">
      <c r="A6" s="31">
        <v>4</v>
      </c>
      <c r="B6" s="31" t="s">
        <v>134</v>
      </c>
      <c r="C6" s="31">
        <v>1</v>
      </c>
      <c r="D6" s="31">
        <v>130</v>
      </c>
      <c r="E6" s="38">
        <v>1.5</v>
      </c>
    </row>
    <row r="7" ht="15.65">
      <c r="A7" s="31">
        <v>5</v>
      </c>
      <c r="B7" s="31" t="s">
        <v>135</v>
      </c>
      <c r="C7" s="31">
        <v>1</v>
      </c>
      <c r="D7" s="31">
        <v>160</v>
      </c>
      <c r="E7" s="38">
        <v>2</v>
      </c>
    </row>
    <row r="8" ht="15.65">
      <c r="A8" s="31">
        <v>6</v>
      </c>
      <c r="B8" s="31" t="s">
        <v>136</v>
      </c>
      <c r="C8" s="31">
        <v>1</v>
      </c>
      <c r="D8" s="31">
        <v>100</v>
      </c>
      <c r="E8" s="38">
        <v>1</v>
      </c>
    </row>
    <row r="9" ht="15.65">
      <c r="A9" s="32">
        <v>7</v>
      </c>
      <c r="B9" s="32" t="s">
        <v>137</v>
      </c>
      <c r="C9" s="32">
        <v>1</v>
      </c>
      <c r="D9" s="32">
        <v>90</v>
      </c>
      <c r="E9" s="39">
        <v>1</v>
      </c>
    </row>
    <row r="10" ht="15.65">
      <c r="A10" s="33"/>
      <c r="B10" s="33"/>
      <c r="C10" s="33"/>
      <c r="D10" s="33"/>
      <c r="E10" s="33"/>
    </row>
    <row r="11" ht="15.65">
      <c r="A11" s="40"/>
      <c r="B11" s="40"/>
      <c r="C11" s="40"/>
      <c r="D11" s="40"/>
      <c r="E11" s="40"/>
    </row>
    <row r="12" ht="15.65">
      <c r="A12" s="40"/>
      <c r="B12" s="40"/>
      <c r="C12" s="40"/>
      <c r="D12" s="40"/>
      <c r="E12" s="40"/>
    </row>
    <row r="13" ht="15.65">
      <c r="A13" s="40"/>
      <c r="B13" s="40"/>
      <c r="C13" s="40"/>
      <c r="D13" s="40"/>
      <c r="E13" s="40"/>
    </row>
    <row r="14" ht="15.65">
      <c r="A14" s="40"/>
      <c r="B14" s="40"/>
      <c r="C14" s="40"/>
      <c r="D14" s="40"/>
      <c r="E14" s="40"/>
    </row>
    <row r="15" ht="15.65">
      <c r="A15" s="40"/>
      <c r="B15" s="40"/>
      <c r="C15" s="40"/>
      <c r="D15" s="40"/>
      <c r="E15" s="40"/>
    </row>
    <row r="16" ht="15.65">
      <c r="A16" s="40"/>
      <c r="B16" s="40"/>
      <c r="C16" s="40"/>
      <c r="D16" s="40"/>
      <c r="E16" s="40"/>
    </row>
    <row r="17" ht="15.65">
      <c r="A17" s="40"/>
      <c r="B17" s="40"/>
      <c r="C17" s="40"/>
      <c r="D17" s="40"/>
      <c r="E17" s="40"/>
    </row>
    <row r="18" ht="15.65">
      <c r="A18" s="40"/>
      <c r="B18" s="40"/>
      <c r="C18" s="40"/>
      <c r="D18" s="40"/>
      <c r="E18" s="40"/>
    </row>
    <row r="19" ht="15.65">
      <c r="A19" s="40"/>
      <c r="B19" s="40"/>
      <c r="C19" s="40"/>
      <c r="D19" s="40"/>
      <c r="E19" s="40"/>
    </row>
    <row r="20" ht="15.65">
      <c r="A20" s="40"/>
      <c r="B20" s="40"/>
      <c r="C20" s="40"/>
      <c r="D20" s="40"/>
      <c r="E20" s="40"/>
    </row>
    <row r="21" ht="15.65">
      <c r="A21" s="40"/>
      <c r="B21" s="40"/>
      <c r="C21" s="40"/>
      <c r="D21" s="40"/>
      <c r="E21" s="40"/>
    </row>
    <row r="22" ht="15.65">
      <c r="A22" s="40"/>
      <c r="B22" s="40"/>
      <c r="C22" s="40"/>
      <c r="D22" s="40"/>
      <c r="E22" s="40"/>
    </row>
    <row r="23" ht="15.65">
      <c r="A23" s="40"/>
      <c r="B23" s="40"/>
      <c r="C23" s="40"/>
      <c r="D23" s="40"/>
      <c r="E23" s="40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E12" activeCellId="0" sqref="E12"/>
    </sheetView>
  </sheetViews>
  <sheetFormatPr baseColWidth="8" defaultRowHeight="15.050000000000001" customHeight="1"/>
  <cols>
    <col customWidth="1" min="1" max="1" width="5.5429700000000004"/>
    <col customWidth="1" min="2" max="2" width="27.453099999999999"/>
    <col customWidth="1" min="3" max="4" width="18.542999999999999"/>
    <col customWidth="1" min="5" max="5" width="22.1797"/>
  </cols>
  <sheetData>
    <row r="1" ht="52" customHeight="1">
      <c r="A1" s="41" t="s">
        <v>138</v>
      </c>
      <c r="B1" s="42"/>
      <c r="C1" s="42"/>
      <c r="D1" s="42"/>
      <c r="E1" s="43"/>
    </row>
    <row r="2" ht="52.600000000000001" customHeight="1">
      <c r="A2" s="36" t="s">
        <v>91</v>
      </c>
      <c r="B2" s="36" t="s">
        <v>139</v>
      </c>
      <c r="C2" s="36" t="s">
        <v>140</v>
      </c>
      <c r="D2" s="36" t="s">
        <v>141</v>
      </c>
      <c r="E2" s="44" t="s">
        <v>142</v>
      </c>
      <c r="F2" s="34"/>
    </row>
    <row r="3" ht="30">
      <c r="A3" s="45">
        <v>1</v>
      </c>
      <c r="B3" s="45" t="s">
        <v>143</v>
      </c>
      <c r="C3" s="45">
        <v>1</v>
      </c>
      <c r="D3" s="45">
        <v>120000</v>
      </c>
      <c r="E3" s="31">
        <v>144000</v>
      </c>
      <c r="F3" s="34"/>
    </row>
    <row r="4" ht="15.65">
      <c r="A4" s="31">
        <v>2</v>
      </c>
      <c r="B4" s="31" t="s">
        <v>144</v>
      </c>
      <c r="C4" s="31">
        <v>2</v>
      </c>
      <c r="D4" s="31">
        <v>80000</v>
      </c>
      <c r="E4" s="31">
        <v>192000</v>
      </c>
      <c r="F4" s="34"/>
    </row>
    <row r="5" ht="15.65">
      <c r="A5" s="31">
        <v>3</v>
      </c>
      <c r="B5" s="31" t="s">
        <v>145</v>
      </c>
      <c r="C5" s="31" t="s">
        <v>146</v>
      </c>
      <c r="D5" s="31">
        <v>25000</v>
      </c>
      <c r="E5" s="31">
        <v>60000</v>
      </c>
      <c r="F5" s="34"/>
    </row>
    <row r="6" ht="15.65">
      <c r="A6" s="31">
        <v>4</v>
      </c>
      <c r="B6" s="31" t="s">
        <v>147</v>
      </c>
      <c r="C6" s="31" t="s">
        <v>148</v>
      </c>
      <c r="D6" s="31">
        <v>5000</v>
      </c>
      <c r="E6" s="31">
        <v>18000</v>
      </c>
      <c r="F6" s="34"/>
    </row>
    <row r="7" ht="15.65">
      <c r="A7" s="31">
        <v>5</v>
      </c>
      <c r="B7" s="31" t="s">
        <v>149</v>
      </c>
      <c r="C7" s="31" t="s">
        <v>148</v>
      </c>
      <c r="D7" s="31">
        <v>3000</v>
      </c>
      <c r="E7" s="31">
        <v>10800</v>
      </c>
      <c r="F7" s="34"/>
    </row>
    <row r="8" ht="15.65">
      <c r="A8" s="31">
        <v>6</v>
      </c>
      <c r="B8" s="31" t="s">
        <v>150</v>
      </c>
      <c r="C8" s="31">
        <v>1</v>
      </c>
      <c r="D8" s="31">
        <v>3000</v>
      </c>
      <c r="E8" s="31">
        <v>3600</v>
      </c>
      <c r="F8" s="34"/>
    </row>
    <row r="9" ht="15.65">
      <c r="A9" s="31">
        <v>7</v>
      </c>
      <c r="B9" s="31" t="s">
        <v>151</v>
      </c>
      <c r="C9" s="31">
        <v>1</v>
      </c>
      <c r="D9" s="31">
        <v>5000</v>
      </c>
      <c r="E9" s="31">
        <v>6000</v>
      </c>
      <c r="F9" s="34"/>
    </row>
    <row r="10" ht="15.65">
      <c r="A10" s="32">
        <v>8</v>
      </c>
      <c r="B10" s="32" t="s">
        <v>152</v>
      </c>
      <c r="C10" s="32">
        <v>1</v>
      </c>
      <c r="D10" s="32">
        <v>10000</v>
      </c>
      <c r="E10" s="32">
        <v>12000</v>
      </c>
      <c r="F10" s="34"/>
    </row>
    <row r="11" ht="15.65">
      <c r="A11" s="46" t="s">
        <v>153</v>
      </c>
      <c r="B11" s="47"/>
      <c r="C11" s="47"/>
      <c r="D11" s="48"/>
      <c r="E11" s="33">
        <f>SUM(E3:E10)</f>
        <v>446400</v>
      </c>
      <c r="F11" s="34"/>
    </row>
    <row r="12" ht="15.65">
      <c r="A12" s="49"/>
      <c r="B12" s="50"/>
      <c r="C12" s="50"/>
      <c r="D12" s="51"/>
      <c r="E12" s="52"/>
      <c r="F12" s="34"/>
    </row>
    <row r="13" ht="15.050000000000001">
      <c r="A13" s="34"/>
      <c r="B13" s="34"/>
      <c r="C13" s="34"/>
      <c r="D13" s="34"/>
      <c r="E13" s="34"/>
      <c r="F13" s="34"/>
    </row>
    <row r="14" ht="15.050000000000001">
      <c r="A14" s="34"/>
      <c r="B14" s="34"/>
      <c r="C14" s="34"/>
      <c r="D14" s="34"/>
      <c r="E14" s="34"/>
      <c r="F14" s="34"/>
    </row>
    <row r="15" ht="15.050000000000001">
      <c r="A15" s="34"/>
      <c r="B15" s="34"/>
      <c r="C15" s="34"/>
      <c r="D15" s="34"/>
      <c r="E15" s="34"/>
      <c r="F15" s="34"/>
    </row>
  </sheetData>
  <mergeCells count="3">
    <mergeCell ref="A1:E1"/>
    <mergeCell ref="A11:D11"/>
    <mergeCell ref="A12:D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60" workbookViewId="0">
      <selection activeCell="N18" activeCellId="0" sqref="N18"/>
    </sheetView>
  </sheetViews>
  <sheetFormatPr baseColWidth="8" defaultColWidth="8.90625" defaultRowHeight="15.65" customHeight="1"/>
  <cols>
    <col customWidth="1" min="1" max="1" style="53" width="8.90625"/>
    <col customWidth="1" min="2" max="2" style="53" width="26.906199999999998"/>
    <col customWidth="1" min="3" max="3" style="53" width="27.453099999999999"/>
    <col customWidth="1" min="4" max="4" style="53" width="16.453099999999999"/>
    <col customWidth="1" min="5" max="5" style="53" width="19.542999999999999"/>
    <col customWidth="1" min="6" max="6" style="53" width="16.453099999999999"/>
    <col customWidth="1" min="7" max="7" style="53" width="27.6328"/>
    <col customWidth="1" min="8" max="8" style="53" width="23.6328"/>
    <col bestFit="1" customWidth="1" min="9" max="9" style="53" width="19.453099999999999"/>
    <col customWidth="1" min="10" max="10" style="53" width="13.363300000000001"/>
    <col customWidth="1" min="11" max="11" style="53" width="2.8164099999999999"/>
    <col customWidth="1" min="12" max="257" style="53" width="8.90625"/>
  </cols>
  <sheetData>
    <row r="1" ht="15.65">
      <c r="A1" s="54"/>
      <c r="B1" s="54"/>
      <c r="C1" s="54"/>
      <c r="D1" s="54"/>
      <c r="E1" s="54"/>
      <c r="F1" s="54"/>
      <c r="G1" s="54"/>
      <c r="H1" s="54"/>
      <c r="I1" s="55" t="s">
        <v>154</v>
      </c>
    </row>
    <row r="2" ht="15.65" customHeight="1">
      <c r="A2" s="54"/>
      <c r="B2" s="54"/>
      <c r="C2" s="54"/>
      <c r="D2" s="54"/>
      <c r="E2" s="54"/>
      <c r="F2" s="54"/>
      <c r="G2" s="54"/>
      <c r="H2" s="54"/>
      <c r="I2" s="54"/>
    </row>
    <row r="3" ht="15.65">
      <c r="A3" s="56" t="s">
        <v>155</v>
      </c>
      <c r="B3" s="56"/>
      <c r="C3" s="56"/>
      <c r="D3" s="56"/>
      <c r="E3" s="56"/>
      <c r="F3" s="56"/>
      <c r="G3" s="56"/>
      <c r="H3" s="56"/>
      <c r="I3" s="56"/>
      <c r="J3" s="57"/>
    </row>
    <row r="4" ht="31.5" customHeight="1">
      <c r="A4" s="58" t="s">
        <v>156</v>
      </c>
      <c r="B4" s="59"/>
      <c r="C4" s="59"/>
      <c r="D4" s="59"/>
      <c r="E4" s="59"/>
      <c r="F4" s="59"/>
      <c r="G4" s="59"/>
      <c r="H4" s="59"/>
      <c r="I4" s="60"/>
      <c r="J4" s="57"/>
    </row>
    <row r="5" ht="15.65">
      <c r="A5" s="61" t="s">
        <v>157</v>
      </c>
      <c r="B5" s="61"/>
      <c r="C5" s="61"/>
      <c r="D5" s="61"/>
      <c r="E5" s="61"/>
      <c r="F5" s="61"/>
      <c r="G5" s="61"/>
      <c r="H5" s="61"/>
      <c r="I5" s="61"/>
      <c r="J5" s="57"/>
    </row>
    <row r="6" ht="16.300000000000001">
      <c r="A6" s="62"/>
      <c r="B6" s="62"/>
      <c r="C6" s="62"/>
      <c r="D6" s="62"/>
      <c r="E6" s="62"/>
      <c r="F6" s="62"/>
      <c r="G6" s="62"/>
      <c r="H6" s="62"/>
      <c r="I6" s="62"/>
    </row>
    <row r="7" s="63" customFormat="1" ht="43.549999999999997" customHeight="1">
      <c r="A7" s="64" t="s">
        <v>158</v>
      </c>
      <c r="B7" s="64" t="s">
        <v>159</v>
      </c>
      <c r="C7" s="65" t="s">
        <v>160</v>
      </c>
      <c r="D7" s="66"/>
      <c r="E7" s="65" t="s">
        <v>161</v>
      </c>
      <c r="F7" s="66"/>
      <c r="G7" s="64" t="s">
        <v>162</v>
      </c>
      <c r="H7" s="64" t="s">
        <v>163</v>
      </c>
      <c r="I7" s="64" t="s">
        <v>164</v>
      </c>
      <c r="J7" s="67"/>
    </row>
    <row r="8" s="63" customFormat="1" ht="43.549999999999997" customHeight="1">
      <c r="A8" s="68"/>
      <c r="B8" s="68"/>
      <c r="C8" s="68" t="s">
        <v>127</v>
      </c>
      <c r="D8" s="68" t="s">
        <v>165</v>
      </c>
      <c r="E8" s="68" t="s">
        <v>166</v>
      </c>
      <c r="F8" s="68" t="s">
        <v>167</v>
      </c>
      <c r="G8" s="68"/>
      <c r="H8" s="68"/>
      <c r="I8" s="68"/>
      <c r="J8" s="67"/>
    </row>
    <row r="9" ht="16.300000000000001">
      <c r="A9" s="69">
        <v>1</v>
      </c>
      <c r="B9" s="70"/>
      <c r="C9" s="70">
        <v>2</v>
      </c>
      <c r="D9" s="70">
        <v>3</v>
      </c>
      <c r="E9" s="70">
        <v>4</v>
      </c>
      <c r="F9" s="70">
        <v>5</v>
      </c>
      <c r="G9" s="70">
        <v>6</v>
      </c>
      <c r="H9" s="70">
        <v>7</v>
      </c>
      <c r="I9" s="71" t="s">
        <v>168</v>
      </c>
      <c r="J9" s="72"/>
    </row>
    <row r="10" ht="47.450000000000003" customHeight="1">
      <c r="A10" s="73">
        <v>1</v>
      </c>
      <c r="B10" s="74" t="s">
        <v>169</v>
      </c>
      <c r="C10" s="73" t="s">
        <v>131</v>
      </c>
      <c r="D10" s="73">
        <v>1</v>
      </c>
      <c r="E10" s="75">
        <v>46063</v>
      </c>
      <c r="F10" s="76">
        <v>46139</v>
      </c>
      <c r="G10" s="73">
        <v>440</v>
      </c>
      <c r="H10" s="73">
        <v>568</v>
      </c>
      <c r="I10" s="77">
        <f>G10*H10</f>
        <v>249920</v>
      </c>
      <c r="J10" s="72"/>
      <c r="O10" s="53"/>
      <c r="P10" s="53"/>
      <c r="Q10" s="53"/>
    </row>
    <row r="11" ht="16.300000000000001">
      <c r="A11" s="73">
        <v>2</v>
      </c>
      <c r="B11" s="78"/>
      <c r="C11" s="73" t="s">
        <v>132</v>
      </c>
      <c r="D11" s="73">
        <v>1</v>
      </c>
      <c r="E11" s="75">
        <v>46063</v>
      </c>
      <c r="F11" s="76">
        <v>46090</v>
      </c>
      <c r="G11" s="73">
        <v>176</v>
      </c>
      <c r="H11" s="73">
        <v>511</v>
      </c>
      <c r="I11" s="77">
        <f>G11*H11</f>
        <v>89936</v>
      </c>
      <c r="J11" s="79"/>
      <c r="O11" s="53"/>
      <c r="P11" s="53"/>
      <c r="Q11" s="53"/>
    </row>
    <row r="12" ht="16.300000000000001">
      <c r="A12" s="73">
        <v>3</v>
      </c>
      <c r="B12" s="78"/>
      <c r="C12" s="73" t="s">
        <v>133</v>
      </c>
      <c r="D12" s="73">
        <v>1</v>
      </c>
      <c r="E12" s="75">
        <v>46091</v>
      </c>
      <c r="F12" s="76">
        <v>46135</v>
      </c>
      <c r="G12" s="73">
        <v>264</v>
      </c>
      <c r="H12" s="73">
        <v>795</v>
      </c>
      <c r="I12" s="77">
        <f>G12*H12</f>
        <v>209880</v>
      </c>
      <c r="J12" s="79"/>
      <c r="O12" s="53"/>
      <c r="P12" s="53"/>
      <c r="Q12" s="53"/>
    </row>
    <row r="13" ht="16.300000000000001">
      <c r="A13" s="73">
        <v>4</v>
      </c>
      <c r="B13" s="78"/>
      <c r="C13" s="73" t="s">
        <v>134</v>
      </c>
      <c r="D13" s="73">
        <v>1</v>
      </c>
      <c r="E13" s="75">
        <v>46091</v>
      </c>
      <c r="F13" s="76">
        <v>46135</v>
      </c>
      <c r="G13" s="80">
        <v>264</v>
      </c>
      <c r="H13" s="73">
        <v>739</v>
      </c>
      <c r="I13" s="77">
        <f>G13*H13</f>
        <v>195096</v>
      </c>
      <c r="J13" s="79"/>
      <c r="O13" s="53"/>
      <c r="P13" s="53"/>
      <c r="Q13" s="53"/>
    </row>
    <row r="14" ht="16.300000000000001">
      <c r="A14" s="73">
        <v>5</v>
      </c>
      <c r="B14" s="78"/>
      <c r="C14" s="73" t="s">
        <v>135</v>
      </c>
      <c r="D14" s="73">
        <v>1</v>
      </c>
      <c r="E14" s="75">
        <v>46077</v>
      </c>
      <c r="F14" s="76">
        <v>46139</v>
      </c>
      <c r="G14" s="80">
        <v>352</v>
      </c>
      <c r="H14" s="73">
        <v>909</v>
      </c>
      <c r="I14" s="77">
        <f>G14*H14</f>
        <v>319968</v>
      </c>
      <c r="J14" s="79"/>
      <c r="K14" s="53"/>
      <c r="O14" s="53"/>
      <c r="P14" s="53"/>
      <c r="Q14" s="53"/>
    </row>
    <row r="15" ht="16.300000000000001">
      <c r="A15" s="73">
        <v>6</v>
      </c>
      <c r="B15" s="78"/>
      <c r="C15" s="73" t="s">
        <v>136</v>
      </c>
      <c r="D15" s="73">
        <v>1</v>
      </c>
      <c r="E15" s="75">
        <v>46077</v>
      </c>
      <c r="F15" s="76">
        <v>46104</v>
      </c>
      <c r="G15" s="80">
        <v>176</v>
      </c>
      <c r="H15" s="73">
        <v>568</v>
      </c>
      <c r="I15" s="77">
        <f>G15*H15</f>
        <v>99968</v>
      </c>
      <c r="J15" s="79"/>
      <c r="K15" s="53"/>
      <c r="O15" s="53"/>
      <c r="P15" s="53"/>
      <c r="Q15" s="53"/>
    </row>
    <row r="16" ht="16.300000000000001">
      <c r="A16" s="73">
        <v>7</v>
      </c>
      <c r="B16" s="81"/>
      <c r="C16" s="73" t="s">
        <v>137</v>
      </c>
      <c r="D16" s="73">
        <v>1</v>
      </c>
      <c r="E16" s="75">
        <v>46112</v>
      </c>
      <c r="F16" s="76">
        <v>46139</v>
      </c>
      <c r="G16" s="80">
        <v>176</v>
      </c>
      <c r="H16" s="73">
        <v>511</v>
      </c>
      <c r="I16" s="77">
        <f>G16*H16</f>
        <v>89936</v>
      </c>
      <c r="J16" s="79"/>
      <c r="K16" s="82"/>
      <c r="O16" s="53"/>
      <c r="P16" s="53"/>
      <c r="Q16" s="53"/>
    </row>
    <row r="17" ht="16.300000000000001">
      <c r="A17" s="83"/>
      <c r="B17" s="84"/>
      <c r="C17" s="78"/>
      <c r="D17" s="78"/>
      <c r="E17" s="85"/>
      <c r="F17" s="86"/>
      <c r="G17" s="87"/>
      <c r="H17" s="78"/>
      <c r="I17" s="88">
        <f>D17*G17*H17</f>
        <v>0</v>
      </c>
      <c r="J17" s="79"/>
      <c r="K17" s="82"/>
      <c r="O17" s="53"/>
      <c r="P17" s="53"/>
      <c r="Q17" s="53"/>
    </row>
    <row r="18" ht="16.300000000000001">
      <c r="A18" s="83"/>
      <c r="B18" s="84"/>
      <c r="C18" s="78"/>
      <c r="D18" s="78"/>
      <c r="E18" s="89"/>
      <c r="F18" s="86"/>
      <c r="G18" s="87"/>
      <c r="H18" s="78"/>
      <c r="I18" s="88">
        <f>D18*G18*H18</f>
        <v>0</v>
      </c>
      <c r="J18" s="79"/>
      <c r="K18" s="82"/>
      <c r="O18" s="53"/>
      <c r="P18" s="53"/>
      <c r="Q18" s="53"/>
    </row>
    <row r="19" ht="16.300000000000001">
      <c r="A19" s="83"/>
      <c r="B19" s="84"/>
      <c r="C19" s="78"/>
      <c r="D19" s="78"/>
      <c r="E19" s="89"/>
      <c r="F19" s="86"/>
      <c r="G19" s="87"/>
      <c r="H19" s="78"/>
      <c r="I19" s="88">
        <f>D19*G19*H19</f>
        <v>0</v>
      </c>
      <c r="J19" s="79"/>
      <c r="K19" s="82"/>
      <c r="O19" s="53"/>
      <c r="P19" s="53"/>
      <c r="Q19" s="53"/>
    </row>
    <row r="20" ht="16.300000000000001">
      <c r="A20" s="83"/>
      <c r="B20" s="84"/>
      <c r="C20" s="78"/>
      <c r="D20" s="78"/>
      <c r="E20" s="89"/>
      <c r="F20" s="86"/>
      <c r="G20" s="78"/>
      <c r="H20" s="78"/>
      <c r="I20" s="88">
        <f>D20*G20*H20</f>
        <v>0</v>
      </c>
      <c r="J20" s="79"/>
      <c r="K20" s="82"/>
      <c r="O20" s="53"/>
      <c r="P20" s="53"/>
      <c r="Q20" s="53"/>
    </row>
    <row r="21" ht="15.65">
      <c r="A21" s="83"/>
      <c r="B21" s="84"/>
      <c r="C21" s="78"/>
      <c r="D21" s="78"/>
      <c r="E21" s="90"/>
      <c r="F21" s="86"/>
      <c r="G21" s="78"/>
      <c r="H21" s="78"/>
      <c r="I21" s="88">
        <f>D21*G21*H21</f>
        <v>0</v>
      </c>
      <c r="J21" s="79"/>
      <c r="K21" s="82"/>
      <c r="O21" s="53"/>
      <c r="P21" s="53"/>
      <c r="Q21" s="53"/>
    </row>
    <row r="22" ht="30.699999999999999" customHeight="1">
      <c r="A22" s="91"/>
      <c r="B22" s="92"/>
      <c r="C22" s="93"/>
      <c r="D22" s="94"/>
      <c r="E22" s="95"/>
      <c r="F22" s="96"/>
      <c r="G22" s="94"/>
      <c r="H22" s="97"/>
      <c r="I22" s="98"/>
      <c r="J22" s="79"/>
      <c r="K22" s="53"/>
      <c r="O22" s="53"/>
      <c r="P22" s="53"/>
      <c r="Q22" s="53"/>
    </row>
    <row r="23" ht="19.899999999999999" customHeight="1">
      <c r="A23" s="99" t="s">
        <v>170</v>
      </c>
      <c r="B23" s="100"/>
      <c r="C23" s="100"/>
      <c r="D23" s="100"/>
      <c r="E23" s="100"/>
      <c r="F23" s="100"/>
      <c r="G23" s="100"/>
      <c r="H23" s="101"/>
      <c r="I23" s="102">
        <f>SUM(I10:I22)</f>
        <v>1254704</v>
      </c>
      <c r="K23" s="53"/>
    </row>
    <row r="24" ht="19.899999999999999" customHeight="1">
      <c r="A24" s="103" t="s">
        <v>171</v>
      </c>
      <c r="B24" s="104"/>
      <c r="C24" s="104"/>
      <c r="D24" s="104"/>
      <c r="E24" s="104"/>
      <c r="F24" s="104"/>
      <c r="G24" s="104"/>
      <c r="H24" s="105"/>
      <c r="I24" s="106"/>
      <c r="J24" s="72"/>
      <c r="K24" s="53"/>
    </row>
    <row r="25" ht="19.899999999999999" customHeight="1">
      <c r="A25" s="107" t="s">
        <v>172</v>
      </c>
      <c r="B25" s="108"/>
      <c r="C25" s="108"/>
      <c r="D25" s="108"/>
      <c r="E25" s="108"/>
      <c r="F25" s="108"/>
      <c r="G25" s="108"/>
      <c r="H25" s="109"/>
      <c r="I25" s="110">
        <f>I23</f>
        <v>1254704</v>
      </c>
      <c r="J25" s="72"/>
      <c r="K25" s="111"/>
    </row>
    <row r="26" ht="19.449999999999999" customHeight="1">
      <c r="A26" s="107" t="s">
        <v>173</v>
      </c>
      <c r="B26" s="108"/>
      <c r="C26" s="108"/>
      <c r="D26" s="108"/>
      <c r="E26" s="108"/>
      <c r="F26" s="108"/>
      <c r="G26" s="108"/>
      <c r="H26" s="109"/>
      <c r="I26" s="112">
        <f>I25*0.1</f>
        <v>125470.40000000001</v>
      </c>
      <c r="J26" s="113"/>
      <c r="K26" s="114"/>
    </row>
    <row r="27" ht="19.449999999999999" customHeight="1">
      <c r="A27" s="115" t="s">
        <v>174</v>
      </c>
      <c r="B27" s="116"/>
      <c r="C27" s="116"/>
      <c r="D27" s="116"/>
      <c r="E27" s="116"/>
      <c r="F27" s="116"/>
      <c r="G27" s="116"/>
      <c r="H27" s="117"/>
      <c r="I27" s="118">
        <f>'Технические ограничения'!E11</f>
        <v>446400</v>
      </c>
      <c r="J27" s="72"/>
      <c r="K27" s="114"/>
    </row>
    <row r="28" ht="19.899999999999999" customHeight="1">
      <c r="A28" s="115" t="s">
        <v>175</v>
      </c>
      <c r="B28" s="116"/>
      <c r="C28" s="116"/>
      <c r="D28" s="116"/>
      <c r="E28" s="116"/>
      <c r="F28" s="116"/>
      <c r="G28" s="116"/>
      <c r="H28" s="117"/>
      <c r="I28" s="118">
        <v>0</v>
      </c>
      <c r="J28" s="72"/>
      <c r="K28" s="114"/>
    </row>
    <row r="29" ht="19.899999999999999" customHeight="1">
      <c r="A29" s="119" t="s">
        <v>176</v>
      </c>
      <c r="B29" s="120"/>
      <c r="C29" s="120"/>
      <c r="D29" s="120"/>
      <c r="E29" s="120"/>
      <c r="F29" s="120"/>
      <c r="G29" s="120"/>
      <c r="H29" s="121"/>
      <c r="I29" s="110">
        <f>I25+I26+I27+I28</f>
        <v>1826574.3999999999</v>
      </c>
      <c r="J29" s="72"/>
      <c r="K29" s="111"/>
    </row>
    <row r="30" ht="19.899999999999999" customHeight="1">
      <c r="A30" s="115" t="s">
        <v>177</v>
      </c>
      <c r="B30" s="116"/>
      <c r="C30" s="116"/>
      <c r="D30" s="116"/>
      <c r="E30" s="116"/>
      <c r="F30" s="116"/>
      <c r="G30" s="116"/>
      <c r="H30" s="117"/>
      <c r="I30" s="118">
        <v>0</v>
      </c>
      <c r="J30" s="72"/>
      <c r="K30" s="114"/>
    </row>
    <row r="31" ht="19.899999999999999" customHeight="1">
      <c r="A31" s="122" t="s">
        <v>178</v>
      </c>
      <c r="B31" s="123"/>
      <c r="C31" s="123"/>
      <c r="D31" s="123"/>
      <c r="E31" s="123"/>
      <c r="F31" s="123"/>
      <c r="G31" s="123"/>
      <c r="H31" s="124"/>
      <c r="I31" s="118">
        <f>I29+I30</f>
        <v>1826574.3999999999</v>
      </c>
      <c r="J31" s="72"/>
      <c r="K31" s="114"/>
    </row>
    <row r="32" ht="19.899999999999999" customHeight="1">
      <c r="A32" s="107" t="s">
        <v>179</v>
      </c>
      <c r="B32" s="108"/>
      <c r="C32" s="108"/>
      <c r="D32" s="108"/>
      <c r="E32" s="108"/>
      <c r="F32" s="108"/>
      <c r="G32" s="108"/>
      <c r="H32" s="109"/>
      <c r="I32" s="118">
        <f>I31*0.1</f>
        <v>182657.44</v>
      </c>
      <c r="J32" s="113"/>
      <c r="K32" s="114"/>
      <c r="Q32" s="125"/>
    </row>
    <row r="33" ht="19.899999999999999" customHeight="1">
      <c r="A33" s="126" t="s">
        <v>180</v>
      </c>
      <c r="B33" s="127"/>
      <c r="C33" s="127"/>
      <c r="D33" s="127"/>
      <c r="E33" s="127"/>
      <c r="F33" s="127"/>
      <c r="G33" s="127"/>
      <c r="H33" s="128"/>
      <c r="I33" s="129">
        <f>I32+I31</f>
        <v>2009231.8399999999</v>
      </c>
      <c r="J33" s="125"/>
      <c r="K33" s="111"/>
    </row>
    <row r="34" s="53" customFormat="1" ht="19.449999999999999" customHeight="1">
      <c r="A34" s="130" t="s">
        <v>181</v>
      </c>
      <c r="B34" s="108"/>
      <c r="C34" s="108"/>
      <c r="D34" s="108"/>
      <c r="E34" s="108"/>
      <c r="F34" s="108"/>
      <c r="G34" s="108"/>
      <c r="H34" s="109"/>
      <c r="I34" s="118">
        <f>I33*0.22</f>
        <v>442031.0048</v>
      </c>
      <c r="J34" s="125"/>
      <c r="K34" s="111"/>
    </row>
    <row r="35" s="53" customFormat="1" ht="16.300000000000001" customHeight="1">
      <c r="A35" s="131" t="s">
        <v>182</v>
      </c>
      <c r="B35" s="132"/>
      <c r="C35" s="132"/>
      <c r="D35" s="132"/>
      <c r="E35" s="132"/>
      <c r="F35" s="132"/>
      <c r="G35" s="132"/>
      <c r="H35" s="133"/>
      <c r="I35" s="134">
        <f>I33+0.22*I33</f>
        <v>2451262.8448000001</v>
      </c>
    </row>
    <row r="36" ht="15.65">
      <c r="K36" s="53"/>
    </row>
    <row r="37" ht="15.65">
      <c r="K37" s="53"/>
    </row>
    <row r="40" ht="34.450000000000003" customHeight="1"/>
  </sheetData>
  <mergeCells count="25">
    <mergeCell ref="A3:I3"/>
    <mergeCell ref="A4:I4"/>
    <mergeCell ref="A5:I5"/>
    <mergeCell ref="A7:A8"/>
    <mergeCell ref="B7:B8"/>
    <mergeCell ref="C7:D7"/>
    <mergeCell ref="E7:F7"/>
    <mergeCell ref="G7:G8"/>
    <mergeCell ref="H7:H8"/>
    <mergeCell ref="I7:I8"/>
    <mergeCell ref="J7:J8"/>
    <mergeCell ref="B10:B16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</mergeCells>
  <printOptions headings="0" gridLines="0"/>
  <pageMargins left="0.69999999999999996" right="0.69999999999999996" top="0.75" bottom="0.75" header="0.29999999999999999" footer="0.29999999999999999"/>
  <pageSetup paperSize="9" scale="6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melzidinov_aa</dc:creator>
  <cp:revision>1</cp:revision>
  <dcterms:created xsi:type="dcterms:W3CDTF">2011-07-07T06:24:00Z</dcterms:created>
  <dcterms:modified xsi:type="dcterms:W3CDTF">2026-04-13T09:36:30Z</dcterms:modified>
  <cp:version>1048576</cp:version>
</cp:coreProperties>
</file>